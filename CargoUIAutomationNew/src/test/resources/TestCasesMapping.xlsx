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57448\Desktop\Cargo_B\Cargo\CargoUIAutomationNew\src\test\resources\"/>
    </mc:Choice>
  </mc:AlternateContent>
  <xr:revisionPtr revIDLastSave="0" documentId="13_ncr:1_{130465E4-222D-4F23-AF9F-5549C932BCA9}" xr6:coauthVersionLast="47" xr6:coauthVersionMax="47" xr10:uidLastSave="{00000000-0000-0000-0000-000000000000}"/>
  <bookViews>
    <workbookView xWindow="-110" yWindow="-110" windowWidth="19420" windowHeight="10420" firstSheet="1" activeTab="2" xr2:uid="{1AB005B2-AFEC-3B46-93EF-50FA3BE3C5FF}"/>
  </bookViews>
  <sheets>
    <sheet name="Configuration" sheetId="14" r:id="rId1"/>
    <sheet name="TestCaseConfig" sheetId="17" r:id="rId2"/>
    <sheet name="MasterSheet" sheetId="21" r:id="rId3"/>
    <sheet name="ABGeneralCargo" sheetId="19" r:id="rId4"/>
    <sheet name="ABPerishable" sheetId="20" r:id="rId5"/>
    <sheet name="ABPharma" sheetId="23" r:id="rId6"/>
    <sheet name="ABMedical" sheetId="24" r:id="rId7"/>
    <sheet name="ABValuables" sheetId="25" r:id="rId8"/>
    <sheet name="ABHumanRemains" sheetId="26" r:id="rId9"/>
    <sheet name="ABLiveAnimal" sheetId="27" r:id="rId10"/>
    <sheet name="backup" sheetId="22" r:id="rId11"/>
    <sheet name="GBParcel16Oz" sheetId="28" r:id="rId12"/>
    <sheet name="GBParcel" sheetId="29" r:id="rId13"/>
    <sheet name="GBPetLive" sheetId="30" r:id="rId14"/>
    <sheet name="GBPerishable" sheetId="31" r:id="rId15"/>
    <sheet name="GBPharma" sheetId="32" r:id="rId16"/>
    <sheet name="GBMedical" sheetId="33" r:id="rId17"/>
    <sheet name="GBSpecialty" sheetId="34" r:id="rId18"/>
    <sheet name="GBHumanRemains" sheetId="35" r:id="rId19"/>
  </sheets>
  <definedNames>
    <definedName name="_xlnm._FilterDatabase" localSheetId="2" hidden="1">MasterSheet!$A$1:$AL$129</definedName>
    <definedName name="_xlnm._FilterDatabase" localSheetId="1" hidden="1">TestCaseConfig!$A$1:$E$1</definedName>
    <definedName name="ActualDataRange">MasterSheet!$B$2:$AL$129</definedName>
    <definedName name="DataColumnRange">MasterSheet!$A$2:$A$129</definedName>
    <definedName name="dataRowRange">MasterSheet!$B$1:$AL$1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35" l="1" a="1"/>
  <c r="E6" i="35" s="1"/>
  <c r="E7" i="35" a="1"/>
  <c r="E7" i="35" s="1"/>
  <c r="E5" i="35" a="1"/>
  <c r="E5" i="35" s="1"/>
  <c r="E4" i="35" a="1"/>
  <c r="E4" i="35" s="1"/>
  <c r="E3" i="35" a="1"/>
  <c r="E3" i="35" s="1"/>
  <c r="E2" i="35" a="1"/>
  <c r="E2" i="35" s="1"/>
  <c r="E7" i="28" a="1"/>
  <c r="E7" i="28" s="1"/>
  <c r="E6" i="28" a="1"/>
  <c r="E6" i="28" s="1"/>
  <c r="E5" i="28" a="1"/>
  <c r="E5" i="28" s="1"/>
  <c r="E4" i="28" a="1"/>
  <c r="E4" i="28" s="1"/>
  <c r="E3" i="28" a="1"/>
  <c r="E3" i="28" s="1"/>
  <c r="E2" i="28" a="1"/>
  <c r="E2" i="28" s="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64" i="21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2" i="21"/>
  <c r="F2" i="34" s="1" a="1"/>
  <c r="F2" i="34" s="1"/>
  <c r="D2" i="34"/>
  <c r="D3" i="34"/>
  <c r="D4" i="34"/>
  <c r="D5" i="34"/>
  <c r="D11" i="31"/>
  <c r="D10" i="31"/>
  <c r="D9" i="31"/>
  <c r="D8" i="31"/>
  <c r="D7" i="31"/>
  <c r="D6" i="31"/>
  <c r="D5" i="31"/>
  <c r="D4" i="31"/>
  <c r="D3" i="31"/>
  <c r="D2" i="31"/>
  <c r="D11" i="32"/>
  <c r="D10" i="32"/>
  <c r="D9" i="32"/>
  <c r="D8" i="32"/>
  <c r="D7" i="32"/>
  <c r="D6" i="32"/>
  <c r="D5" i="32"/>
  <c r="D4" i="32"/>
  <c r="D3" i="32"/>
  <c r="D2" i="32"/>
  <c r="D3" i="35"/>
  <c r="D4" i="35"/>
  <c r="D5" i="35"/>
  <c r="D6" i="35"/>
  <c r="D7" i="35"/>
  <c r="D2" i="35"/>
  <c r="D3" i="33"/>
  <c r="D4" i="33"/>
  <c r="D5" i="33"/>
  <c r="D6" i="33"/>
  <c r="D7" i="33"/>
  <c r="D8" i="33"/>
  <c r="D9" i="33"/>
  <c r="D10" i="33"/>
  <c r="D11" i="33"/>
  <c r="D12" i="33"/>
  <c r="D13" i="33"/>
  <c r="D2" i="33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2" i="27"/>
  <c r="E14" i="17"/>
  <c r="E11" i="17"/>
  <c r="E9" i="17"/>
  <c r="E8" i="17"/>
  <c r="E7" i="17"/>
  <c r="E6" i="17"/>
  <c r="E5" i="17"/>
  <c r="E4" i="17"/>
  <c r="E3" i="17"/>
  <c r="E2" i="17"/>
  <c r="D3" i="30"/>
  <c r="D4" i="30"/>
  <c r="D5" i="30"/>
  <c r="D6" i="30"/>
  <c r="D7" i="30"/>
  <c r="D8" i="30"/>
  <c r="D9" i="30"/>
  <c r="D10" i="30"/>
  <c r="D11" i="30"/>
  <c r="D12" i="30"/>
  <c r="D13" i="30"/>
  <c r="D2" i="30"/>
  <c r="D3" i="29"/>
  <c r="D4" i="29"/>
  <c r="D5" i="29"/>
  <c r="D6" i="29"/>
  <c r="D7" i="29"/>
  <c r="D2" i="29"/>
  <c r="D3" i="26"/>
  <c r="D4" i="26"/>
  <c r="D5" i="26"/>
  <c r="D6" i="26"/>
  <c r="D7" i="26"/>
  <c r="D2" i="26"/>
  <c r="D3" i="25"/>
  <c r="D4" i="25"/>
  <c r="D5" i="25"/>
  <c r="D2" i="25"/>
  <c r="D8" i="24"/>
  <c r="D9" i="24"/>
  <c r="D10" i="24"/>
  <c r="D11" i="24"/>
  <c r="D12" i="24"/>
  <c r="D13" i="24"/>
  <c r="D7" i="23"/>
  <c r="D8" i="23"/>
  <c r="D9" i="23"/>
  <c r="D10" i="23"/>
  <c r="D11" i="23"/>
  <c r="D7" i="20"/>
  <c r="D8" i="20"/>
  <c r="D9" i="20"/>
  <c r="D10" i="20"/>
  <c r="D11" i="20"/>
  <c r="D3" i="28"/>
  <c r="D4" i="28"/>
  <c r="D5" i="28"/>
  <c r="D6" i="28"/>
  <c r="D7" i="28"/>
  <c r="D2" i="28"/>
  <c r="D5" i="19"/>
  <c r="D6" i="19"/>
  <c r="D7" i="19"/>
  <c r="D3" i="24"/>
  <c r="D4" i="24"/>
  <c r="D5" i="24"/>
  <c r="D6" i="24"/>
  <c r="D7" i="24"/>
  <c r="D2" i="24"/>
  <c r="D3" i="23"/>
  <c r="D4" i="23"/>
  <c r="D5" i="23"/>
  <c r="D6" i="23"/>
  <c r="D2" i="23"/>
  <c r="D3" i="20"/>
  <c r="D4" i="20"/>
  <c r="D5" i="20"/>
  <c r="D6" i="20"/>
  <c r="D2" i="20"/>
  <c r="D4" i="19"/>
  <c r="E4" i="34" l="1" a="1"/>
  <c r="E4" i="34" s="1"/>
  <c r="E5" i="34" a="1"/>
  <c r="E5" i="34" s="1"/>
  <c r="E2" i="34" a="1"/>
  <c r="E2" i="34" s="1"/>
  <c r="E3" i="34" a="1"/>
  <c r="E3" i="34" s="1"/>
  <c r="E11" i="32" a="1"/>
  <c r="E11" i="32" s="1"/>
  <c r="E4" i="31" a="1"/>
  <c r="E4" i="31" s="1"/>
  <c r="E9" i="31" a="1"/>
  <c r="E9" i="31" s="1"/>
  <c r="E7" i="29" a="1"/>
  <c r="E7" i="29" s="1"/>
  <c r="E9" i="32" a="1"/>
  <c r="E9" i="32" s="1"/>
  <c r="E2" i="32" a="1"/>
  <c r="E2" i="32" s="1"/>
  <c r="E10" i="32" a="1"/>
  <c r="E10" i="32" s="1"/>
  <c r="E3" i="32" a="1"/>
  <c r="E3" i="32" s="1"/>
  <c r="E5" i="31" a="1"/>
  <c r="E5" i="31" s="1"/>
  <c r="E2" i="29" a="1"/>
  <c r="E2" i="29" s="1"/>
  <c r="E4" i="32" a="1"/>
  <c r="E4" i="32" s="1"/>
  <c r="J7" i="32" a="1"/>
  <c r="J7" i="32" s="1"/>
  <c r="E3" i="29" a="1"/>
  <c r="E3" i="29" s="1"/>
  <c r="E5" i="32" a="1"/>
  <c r="E5" i="32" s="1"/>
  <c r="E4" i="29" a="1"/>
  <c r="E4" i="29" s="1"/>
  <c r="E6" i="32" a="1"/>
  <c r="E6" i="32" s="1"/>
  <c r="F3" i="34" a="1"/>
  <c r="F3" i="34" s="1"/>
  <c r="E5" i="29" a="1"/>
  <c r="E5" i="29" s="1"/>
  <c r="E7" i="32" a="1"/>
  <c r="E7" i="32" s="1"/>
  <c r="F4" i="34" a="1"/>
  <c r="F4" i="34" s="1"/>
  <c r="E6" i="29" a="1"/>
  <c r="E6" i="29" s="1"/>
  <c r="E8" i="32" a="1"/>
  <c r="E8" i="32" s="1"/>
  <c r="F5" i="34" a="1"/>
  <c r="F5" i="34" s="1"/>
  <c r="F7" i="31" a="1"/>
  <c r="F7" i="31" s="1"/>
  <c r="G9" i="31" a="1"/>
  <c r="G9" i="31" s="1"/>
  <c r="E2" i="31" a="1"/>
  <c r="E2" i="31" s="1"/>
  <c r="F6" i="31" a="1"/>
  <c r="F6" i="31" s="1"/>
  <c r="G8" i="31" a="1"/>
  <c r="G8" i="31" s="1"/>
  <c r="E3" i="31" a="1"/>
  <c r="E3" i="31" s="1"/>
  <c r="F5" i="31" a="1"/>
  <c r="F5" i="31" s="1"/>
  <c r="G7" i="31" a="1"/>
  <c r="G7" i="31" s="1"/>
  <c r="E10" i="31" a="1"/>
  <c r="E10" i="31" s="1"/>
  <c r="F4" i="31" a="1"/>
  <c r="F4" i="31" s="1"/>
  <c r="G6" i="31" a="1"/>
  <c r="G6" i="31" s="1"/>
  <c r="F3" i="31" a="1"/>
  <c r="F3" i="31" s="1"/>
  <c r="G5" i="31" a="1"/>
  <c r="G5" i="31" s="1"/>
  <c r="E8" i="31" a="1"/>
  <c r="E8" i="31" s="1"/>
  <c r="F10" i="31" a="1"/>
  <c r="F10" i="31" s="1"/>
  <c r="G2" i="31" a="1"/>
  <c r="G2" i="31" s="1"/>
  <c r="G4" i="31" a="1"/>
  <c r="G4" i="31" s="1"/>
  <c r="E7" i="31" a="1"/>
  <c r="E7" i="31" s="1"/>
  <c r="F9" i="31" a="1"/>
  <c r="F9" i="31" s="1"/>
  <c r="G3" i="31" a="1"/>
  <c r="G3" i="31" s="1"/>
  <c r="E6" i="31" a="1"/>
  <c r="E6" i="31" s="1"/>
  <c r="F8" i="31" a="1"/>
  <c r="F8" i="31" s="1"/>
  <c r="G10" i="31" a="1"/>
  <c r="G10" i="31" s="1"/>
  <c r="F2" i="31" a="1"/>
  <c r="F2" i="31" s="1"/>
  <c r="AL11" i="32" a="1"/>
  <c r="AL11" i="32" s="1"/>
  <c r="E2" i="33" a="1"/>
  <c r="E2" i="33" s="1"/>
  <c r="J2" i="28" a="1"/>
  <c r="J2" i="28" s="1"/>
  <c r="H2" i="34" a="1"/>
  <c r="H2" i="34" s="1"/>
  <c r="J6" i="32" a="1"/>
  <c r="J6" i="32" s="1"/>
  <c r="I2" i="32" a="1"/>
  <c r="I2" i="32" s="1"/>
  <c r="H5" i="34" a="1"/>
  <c r="H5" i="34" s="1"/>
  <c r="J3" i="34" a="1"/>
  <c r="J3" i="34" s="1"/>
  <c r="I6" i="32" a="1"/>
  <c r="I6" i="32" s="1"/>
  <c r="H8" i="32" a="1"/>
  <c r="H8" i="32" s="1"/>
  <c r="H4" i="32" a="1"/>
  <c r="H4" i="32" s="1"/>
  <c r="H2" i="32" a="1"/>
  <c r="H2" i="32" s="1"/>
  <c r="G10" i="32" a="1"/>
  <c r="G10" i="32" s="1"/>
  <c r="G8" i="32" a="1"/>
  <c r="G8" i="32" s="1"/>
  <c r="G6" i="32" a="1"/>
  <c r="G6" i="32" s="1"/>
  <c r="G4" i="32" a="1"/>
  <c r="G4" i="32" s="1"/>
  <c r="G5" i="34" a="1"/>
  <c r="G5" i="34" s="1"/>
  <c r="I3" i="34" a="1"/>
  <c r="I3" i="34" s="1"/>
  <c r="I8" i="32" a="1"/>
  <c r="I8" i="32" s="1"/>
  <c r="H10" i="32" a="1"/>
  <c r="H10" i="32" s="1"/>
  <c r="H6" i="32" a="1"/>
  <c r="H6" i="32" s="1"/>
  <c r="G2" i="32" a="1"/>
  <c r="G2" i="32" s="1"/>
  <c r="F10" i="32" a="1"/>
  <c r="F10" i="32" s="1"/>
  <c r="F8" i="32" a="1"/>
  <c r="F8" i="32" s="1"/>
  <c r="F6" i="32" a="1"/>
  <c r="F6" i="32" s="1"/>
  <c r="F4" i="32" a="1"/>
  <c r="F4" i="32" s="1"/>
  <c r="H3" i="34" a="1"/>
  <c r="H3" i="34" s="1"/>
  <c r="K2" i="32" a="1"/>
  <c r="K2" i="32" s="1"/>
  <c r="K3" i="34" a="1"/>
  <c r="K3" i="34" s="1"/>
  <c r="K11" i="32" a="1"/>
  <c r="K11" i="32" s="1"/>
  <c r="K9" i="32" a="1"/>
  <c r="K9" i="32" s="1"/>
  <c r="K7" i="32" a="1"/>
  <c r="K7" i="32" s="1"/>
  <c r="K5" i="32" a="1"/>
  <c r="K5" i="32" s="1"/>
  <c r="K3" i="32" a="1"/>
  <c r="K3" i="32" s="1"/>
  <c r="G3" i="34" a="1"/>
  <c r="G3" i="34" s="1"/>
  <c r="J10" i="32" a="1"/>
  <c r="J10" i="32" s="1"/>
  <c r="I5" i="34" a="1"/>
  <c r="I5" i="34" s="1"/>
  <c r="J11" i="32" a="1"/>
  <c r="J11" i="32" s="1"/>
  <c r="J9" i="32" a="1"/>
  <c r="J9" i="32" s="1"/>
  <c r="J5" i="32" a="1"/>
  <c r="J5" i="32" s="1"/>
  <c r="J3" i="32" a="1"/>
  <c r="J3" i="32" s="1"/>
  <c r="K4" i="34" a="1"/>
  <c r="K4" i="34" s="1"/>
  <c r="I11" i="32" a="1"/>
  <c r="I11" i="32" s="1"/>
  <c r="I9" i="32" a="1"/>
  <c r="I9" i="32" s="1"/>
  <c r="I7" i="32" a="1"/>
  <c r="I7" i="32" s="1"/>
  <c r="I5" i="32" a="1"/>
  <c r="I5" i="32" s="1"/>
  <c r="I3" i="32" a="1"/>
  <c r="I3" i="32" s="1"/>
  <c r="J4" i="34" a="1"/>
  <c r="J4" i="34" s="1"/>
  <c r="J4" i="32" a="1"/>
  <c r="J4" i="32" s="1"/>
  <c r="J2" i="32" a="1"/>
  <c r="J2" i="32" s="1"/>
  <c r="H11" i="32" a="1"/>
  <c r="H11" i="32" s="1"/>
  <c r="H9" i="32" a="1"/>
  <c r="H9" i="32" s="1"/>
  <c r="H7" i="32" a="1"/>
  <c r="H7" i="32" s="1"/>
  <c r="H5" i="32" a="1"/>
  <c r="H5" i="32" s="1"/>
  <c r="H3" i="32" a="1"/>
  <c r="H3" i="32" s="1"/>
  <c r="I4" i="34" a="1"/>
  <c r="I4" i="34" s="1"/>
  <c r="K2" i="34" a="1"/>
  <c r="K2" i="34" s="1"/>
  <c r="J5" i="34" a="1"/>
  <c r="J5" i="34" s="1"/>
  <c r="I10" i="32" a="1"/>
  <c r="I10" i="32" s="1"/>
  <c r="G11" i="32" a="1"/>
  <c r="G11" i="32" s="1"/>
  <c r="G9" i="32" a="1"/>
  <c r="G9" i="32" s="1"/>
  <c r="G7" i="32" a="1"/>
  <c r="G7" i="32" s="1"/>
  <c r="G5" i="32" a="1"/>
  <c r="G5" i="32" s="1"/>
  <c r="G3" i="32" a="1"/>
  <c r="G3" i="32" s="1"/>
  <c r="H4" i="34" a="1"/>
  <c r="H4" i="34" s="1"/>
  <c r="J2" i="34" a="1"/>
  <c r="J2" i="34" s="1"/>
  <c r="J8" i="32" a="1"/>
  <c r="J8" i="32" s="1"/>
  <c r="F11" i="32" a="1"/>
  <c r="F11" i="32" s="1"/>
  <c r="F9" i="32" a="1"/>
  <c r="F9" i="32" s="1"/>
  <c r="F7" i="32" a="1"/>
  <c r="F7" i="32" s="1"/>
  <c r="F5" i="32" a="1"/>
  <c r="F5" i="32" s="1"/>
  <c r="F3" i="32" a="1"/>
  <c r="F3" i="32" s="1"/>
  <c r="G4" i="34" a="1"/>
  <c r="G4" i="34" s="1"/>
  <c r="I2" i="34" a="1"/>
  <c r="I2" i="34" s="1"/>
  <c r="G2" i="34" a="1"/>
  <c r="G2" i="34" s="1"/>
  <c r="I4" i="32" a="1"/>
  <c r="I4" i="32" s="1"/>
  <c r="F2" i="32" a="1"/>
  <c r="F2" i="32" s="1"/>
  <c r="K10" i="32" a="1"/>
  <c r="K10" i="32" s="1"/>
  <c r="K8" i="32" a="1"/>
  <c r="K8" i="32" s="1"/>
  <c r="K6" i="32" a="1"/>
  <c r="K6" i="32" s="1"/>
  <c r="K4" i="32" a="1"/>
  <c r="K4" i="32" s="1"/>
  <c r="K5" i="34" a="1"/>
  <c r="K5" i="34" s="1"/>
  <c r="AO6" i="19" a="1"/>
  <c r="AO6" i="19" s="1"/>
  <c r="AM7" i="19" a="1"/>
  <c r="AM7" i="19" s="1"/>
  <c r="AN4" i="19" a="1"/>
  <c r="AN4" i="19" s="1"/>
  <c r="AN7" i="19" a="1"/>
  <c r="AN7" i="19" s="1"/>
  <c r="AM4" i="19" a="1"/>
  <c r="AM4" i="19" s="1"/>
  <c r="AO3" i="19" a="1"/>
  <c r="AO3" i="19" s="1"/>
  <c r="AN3" i="19" a="1"/>
  <c r="AN3" i="19" s="1"/>
  <c r="AN6" i="19" a="1"/>
  <c r="AN6" i="19" s="1"/>
  <c r="AM3" i="19" a="1"/>
  <c r="AM3" i="19" s="1"/>
  <c r="AM6" i="19" a="1"/>
  <c r="AM6" i="19" s="1"/>
  <c r="AO5" i="19" a="1"/>
  <c r="AO5" i="19" s="1"/>
  <c r="AN5" i="19" a="1"/>
  <c r="AN5" i="19" s="1"/>
  <c r="AM2" i="19" a="1"/>
  <c r="AM2" i="19" s="1"/>
  <c r="AN2" i="19" a="1"/>
  <c r="AN2" i="19" s="1"/>
  <c r="AM5" i="19" a="1"/>
  <c r="AM5" i="19" s="1"/>
  <c r="AO2" i="19" a="1"/>
  <c r="AO2" i="19" s="1"/>
  <c r="AO4" i="19" a="1"/>
  <c r="AO4" i="19" s="1"/>
  <c r="AO7" i="19" a="1"/>
  <c r="AO7" i="19" s="1"/>
  <c r="H6" i="30" a="1"/>
  <c r="H6" i="30" s="1"/>
  <c r="AC8" i="20" a="1"/>
  <c r="AC8" i="20" s="1"/>
  <c r="AL5" i="24" a="1"/>
  <c r="AL5" i="24" s="1"/>
  <c r="M3" i="30" a="1"/>
  <c r="M3" i="30" s="1"/>
  <c r="W11" i="20" a="1"/>
  <c r="W11" i="20" s="1"/>
  <c r="AF13" i="30" a="1"/>
  <c r="AF13" i="30" s="1"/>
  <c r="W12" i="30" a="1"/>
  <c r="W12" i="30" s="1"/>
  <c r="AH9" i="30" a="1"/>
  <c r="AH9" i="30" s="1"/>
  <c r="Q8" i="30" a="1"/>
  <c r="Q8" i="30" s="1"/>
  <c r="AG6" i="30" a="1"/>
  <c r="AG6" i="30" s="1"/>
  <c r="AL2" i="30" a="1"/>
  <c r="AL2" i="30" s="1"/>
  <c r="Z2" i="30" a="1"/>
  <c r="Z2" i="30" s="1"/>
  <c r="L2" i="30" a="1"/>
  <c r="L2" i="30" s="1"/>
  <c r="AE13" i="30" a="1"/>
  <c r="AE13" i="30" s="1"/>
  <c r="R13" i="30" a="1"/>
  <c r="R13" i="30" s="1"/>
  <c r="AI12" i="30" a="1"/>
  <c r="AI12" i="30" s="1"/>
  <c r="V12" i="30" a="1"/>
  <c r="V12" i="30" s="1"/>
  <c r="F12" i="30" a="1"/>
  <c r="F12" i="30" s="1"/>
  <c r="Z11" i="30" a="1"/>
  <c r="Z11" i="30" s="1"/>
  <c r="H11" i="30" a="1"/>
  <c r="H11" i="30" s="1"/>
  <c r="U10" i="30" a="1"/>
  <c r="U10" i="30" s="1"/>
  <c r="AE9" i="30" a="1"/>
  <c r="AE9" i="30" s="1"/>
  <c r="E9" i="30" a="1"/>
  <c r="E9" i="30" s="1"/>
  <c r="N8" i="30" a="1"/>
  <c r="N8" i="30" s="1"/>
  <c r="U7" i="30" a="1"/>
  <c r="U7" i="30" s="1"/>
  <c r="AD6" i="30" a="1"/>
  <c r="AD6" i="30" s="1"/>
  <c r="AL5" i="30" a="1"/>
  <c r="AL5" i="30" s="1"/>
  <c r="F5" i="30" a="1"/>
  <c r="F5" i="30" s="1"/>
  <c r="F4" i="30" a="1"/>
  <c r="F4" i="30" s="1"/>
  <c r="I11" i="30" a="1"/>
  <c r="I11" i="30" s="1"/>
  <c r="AL7" i="24" a="1"/>
  <c r="AL7" i="24" s="1"/>
  <c r="AL5" i="19" a="1"/>
  <c r="AL5" i="19" s="1"/>
  <c r="J7" i="23" a="1"/>
  <c r="J7" i="23" s="1"/>
  <c r="AJ2" i="30" a="1"/>
  <c r="AJ2" i="30" s="1"/>
  <c r="Y2" i="30" a="1"/>
  <c r="Y2" i="30" s="1"/>
  <c r="K2" i="30" a="1"/>
  <c r="K2" i="30" s="1"/>
  <c r="AD13" i="30" a="1"/>
  <c r="AD13" i="30" s="1"/>
  <c r="Q13" i="30" a="1"/>
  <c r="Q13" i="30" s="1"/>
  <c r="AH12" i="30" a="1"/>
  <c r="AH12" i="30" s="1"/>
  <c r="U12" i="30" a="1"/>
  <c r="U12" i="30" s="1"/>
  <c r="E12" i="30" a="1"/>
  <c r="E12" i="30" s="1"/>
  <c r="Y11" i="30" a="1"/>
  <c r="Y11" i="30" s="1"/>
  <c r="G11" i="30" a="1"/>
  <c r="G11" i="30" s="1"/>
  <c r="T10" i="30" a="1"/>
  <c r="T10" i="30" s="1"/>
  <c r="AC9" i="30" a="1"/>
  <c r="AC9" i="30" s="1"/>
  <c r="AL8" i="30" a="1"/>
  <c r="AL8" i="30" s="1"/>
  <c r="L8" i="30" a="1"/>
  <c r="L8" i="30" s="1"/>
  <c r="T7" i="30" a="1"/>
  <c r="T7" i="30" s="1"/>
  <c r="AB6" i="30" a="1"/>
  <c r="AB6" i="30" s="1"/>
  <c r="AJ5" i="30" a="1"/>
  <c r="AJ5" i="30" s="1"/>
  <c r="AJ4" i="30" a="1"/>
  <c r="AJ4" i="30" s="1"/>
  <c r="AG3" i="30" a="1"/>
  <c r="AG3" i="30" s="1"/>
  <c r="S13" i="30" a="1"/>
  <c r="S13" i="30" s="1"/>
  <c r="J12" i="30" a="1"/>
  <c r="J12" i="30" s="1"/>
  <c r="V10" i="30" a="1"/>
  <c r="V10" i="30" s="1"/>
  <c r="Y7" i="30" a="1"/>
  <c r="Y7" i="30" s="1"/>
  <c r="AL6" i="19" a="1"/>
  <c r="AL6" i="19" s="1"/>
  <c r="AI2" i="30" a="1"/>
  <c r="AI2" i="30" s="1"/>
  <c r="V2" i="30" a="1"/>
  <c r="V2" i="30" s="1"/>
  <c r="J2" i="30" a="1"/>
  <c r="J2" i="30" s="1"/>
  <c r="AC13" i="30" a="1"/>
  <c r="AC13" i="30" s="1"/>
  <c r="M13" i="30" a="1"/>
  <c r="M13" i="30" s="1"/>
  <c r="AG12" i="30" a="1"/>
  <c r="AG12" i="30" s="1"/>
  <c r="T12" i="30" a="1"/>
  <c r="T12" i="30" s="1"/>
  <c r="AL11" i="30" a="1"/>
  <c r="AL11" i="30" s="1"/>
  <c r="X11" i="30" a="1"/>
  <c r="X11" i="30" s="1"/>
  <c r="E11" i="30" a="1"/>
  <c r="E11" i="30" s="1"/>
  <c r="R10" i="30" a="1"/>
  <c r="R10" i="30" s="1"/>
  <c r="Y9" i="30" a="1"/>
  <c r="Y9" i="30" s="1"/>
  <c r="AH8" i="30" a="1"/>
  <c r="AH8" i="30" s="1"/>
  <c r="H8" i="30" a="1"/>
  <c r="H8" i="30" s="1"/>
  <c r="Q7" i="30" a="1"/>
  <c r="Q7" i="30" s="1"/>
  <c r="X6" i="30" a="1"/>
  <c r="X6" i="30" s="1"/>
  <c r="AG5" i="30" a="1"/>
  <c r="AG5" i="30" s="1"/>
  <c r="AD4" i="30" a="1"/>
  <c r="AD4" i="30" s="1"/>
  <c r="AF3" i="30" a="1"/>
  <c r="AF3" i="30" s="1"/>
  <c r="AK9" i="30" a="1"/>
  <c r="AK9" i="30" s="1"/>
  <c r="AA2" i="30" a="1"/>
  <c r="AA2" i="30" s="1"/>
  <c r="I4" i="30" a="1"/>
  <c r="I4" i="30" s="1"/>
  <c r="AH2" i="30" a="1"/>
  <c r="AH2" i="30" s="1"/>
  <c r="U2" i="30" a="1"/>
  <c r="U2" i="30" s="1"/>
  <c r="I2" i="30" a="1"/>
  <c r="I2" i="30" s="1"/>
  <c r="AB13" i="30" a="1"/>
  <c r="AB13" i="30" s="1"/>
  <c r="L13" i="30" a="1"/>
  <c r="L13" i="30" s="1"/>
  <c r="AF12" i="30" a="1"/>
  <c r="AF12" i="30" s="1"/>
  <c r="P12" i="30" a="1"/>
  <c r="P12" i="30" s="1"/>
  <c r="AJ11" i="30" a="1"/>
  <c r="AJ11" i="30" s="1"/>
  <c r="W11" i="30" a="1"/>
  <c r="W11" i="30" s="1"/>
  <c r="AJ10" i="30" a="1"/>
  <c r="AJ10" i="30" s="1"/>
  <c r="P10" i="30" a="1"/>
  <c r="P10" i="30" s="1"/>
  <c r="X9" i="30" a="1"/>
  <c r="X9" i="30" s="1"/>
  <c r="AF8" i="30" a="1"/>
  <c r="AF8" i="30" s="1"/>
  <c r="G8" i="30" a="1"/>
  <c r="G8" i="30" s="1"/>
  <c r="O7" i="30" a="1"/>
  <c r="O7" i="30" s="1"/>
  <c r="W6" i="30" a="1"/>
  <c r="W6" i="30" s="1"/>
  <c r="AA5" i="30" a="1"/>
  <c r="AA5" i="30" s="1"/>
  <c r="AC4" i="30" a="1"/>
  <c r="AC4" i="30" s="1"/>
  <c r="AC3" i="30" a="1"/>
  <c r="AC3" i="30" s="1"/>
  <c r="AK5" i="30" a="1"/>
  <c r="AK5" i="30" s="1"/>
  <c r="I3" i="30" a="1"/>
  <c r="I3" i="30" s="1"/>
  <c r="AL6" i="23" a="1"/>
  <c r="AL6" i="23" s="1"/>
  <c r="AF2" i="30" a="1"/>
  <c r="AF2" i="30" s="1"/>
  <c r="T2" i="30" a="1"/>
  <c r="T2" i="30" s="1"/>
  <c r="H2" i="30" a="1"/>
  <c r="H2" i="30" s="1"/>
  <c r="AA13" i="30" a="1"/>
  <c r="AA13" i="30" s="1"/>
  <c r="K13" i="30" a="1"/>
  <c r="K13" i="30" s="1"/>
  <c r="AE12" i="30" a="1"/>
  <c r="AE12" i="30" s="1"/>
  <c r="O12" i="30" a="1"/>
  <c r="O12" i="30" s="1"/>
  <c r="AI11" i="30" a="1"/>
  <c r="AI11" i="30" s="1"/>
  <c r="S11" i="30" a="1"/>
  <c r="S11" i="30" s="1"/>
  <c r="AF10" i="30" a="1"/>
  <c r="AF10" i="30" s="1"/>
  <c r="L10" i="30" a="1"/>
  <c r="L10" i="30" s="1"/>
  <c r="U9" i="30" a="1"/>
  <c r="U9" i="30" s="1"/>
  <c r="AB8" i="30" a="1"/>
  <c r="AB8" i="30" s="1"/>
  <c r="AL7" i="30" a="1"/>
  <c r="AL7" i="30" s="1"/>
  <c r="K7" i="30" a="1"/>
  <c r="K7" i="30" s="1"/>
  <c r="T6" i="30" a="1"/>
  <c r="T6" i="30" s="1"/>
  <c r="Z5" i="30" a="1"/>
  <c r="Z5" i="30" s="1"/>
  <c r="Z4" i="30" a="1"/>
  <c r="Z4" i="30" s="1"/>
  <c r="W3" i="30" a="1"/>
  <c r="W3" i="30" s="1"/>
  <c r="AL6" i="28" a="1"/>
  <c r="AL6" i="28" s="1"/>
  <c r="O2" i="30" a="1"/>
  <c r="O2" i="30" s="1"/>
  <c r="G5" i="30" a="1"/>
  <c r="G5" i="30" s="1"/>
  <c r="V4" i="26" a="1"/>
  <c r="V4" i="26" s="1"/>
  <c r="AK8" i="33" a="1"/>
  <c r="AK8" i="33" s="1"/>
  <c r="H3" i="33" a="1"/>
  <c r="H3" i="33" s="1"/>
  <c r="R3" i="33" a="1"/>
  <c r="R3" i="33" s="1"/>
  <c r="AB3" i="33" a="1"/>
  <c r="AB3" i="33" s="1"/>
  <c r="E4" i="33" a="1"/>
  <c r="E4" i="33" s="1"/>
  <c r="O4" i="33" a="1"/>
  <c r="O4" i="33" s="1"/>
  <c r="X4" i="33" a="1"/>
  <c r="X4" i="33" s="1"/>
  <c r="AH4" i="33" a="1"/>
  <c r="AH4" i="33" s="1"/>
  <c r="K5" i="33" a="1"/>
  <c r="K5" i="33" s="1"/>
  <c r="U5" i="33" a="1"/>
  <c r="U5" i="33" s="1"/>
  <c r="AE5" i="33" a="1"/>
  <c r="AE5" i="33" s="1"/>
  <c r="H6" i="33" a="1"/>
  <c r="H6" i="33" s="1"/>
  <c r="R6" i="33" a="1"/>
  <c r="R6" i="33" s="1"/>
  <c r="AB6" i="33" a="1"/>
  <c r="AB6" i="33" s="1"/>
  <c r="E7" i="33" a="1"/>
  <c r="E7" i="33" s="1"/>
  <c r="O7" i="33" a="1"/>
  <c r="O7" i="33" s="1"/>
  <c r="Y7" i="33" a="1"/>
  <c r="Y7" i="33" s="1"/>
  <c r="AI7" i="33" a="1"/>
  <c r="AI7" i="33" s="1"/>
  <c r="K8" i="33" a="1"/>
  <c r="K8" i="33" s="1"/>
  <c r="U8" i="33" a="1"/>
  <c r="U8" i="33" s="1"/>
  <c r="AE8" i="33" a="1"/>
  <c r="AE8" i="33" s="1"/>
  <c r="H9" i="33" a="1"/>
  <c r="H9" i="33" s="1"/>
  <c r="R9" i="33" a="1"/>
  <c r="R9" i="33" s="1"/>
  <c r="AB9" i="33" a="1"/>
  <c r="AB9" i="33" s="1"/>
  <c r="E10" i="33" a="1"/>
  <c r="E10" i="33" s="1"/>
  <c r="O10" i="33" a="1"/>
  <c r="O10" i="33" s="1"/>
  <c r="Y10" i="33" a="1"/>
  <c r="Y10" i="33" s="1"/>
  <c r="AI10" i="33" a="1"/>
  <c r="AI10" i="33" s="1"/>
  <c r="L11" i="33" a="1"/>
  <c r="L11" i="33" s="1"/>
  <c r="V11" i="33" a="1"/>
  <c r="V11" i="33" s="1"/>
  <c r="AF11" i="33" a="1"/>
  <c r="AF11" i="33" s="1"/>
  <c r="H12" i="33" a="1"/>
  <c r="H12" i="33" s="1"/>
  <c r="Q12" i="33" a="1"/>
  <c r="Q12" i="33" s="1"/>
  <c r="AA12" i="33" a="1"/>
  <c r="AA12" i="33" s="1"/>
  <c r="AL12" i="33" a="1"/>
  <c r="AL12" i="33" s="1"/>
  <c r="N13" i="33" a="1"/>
  <c r="N13" i="33" s="1"/>
  <c r="X13" i="33" a="1"/>
  <c r="X13" i="33" s="1"/>
  <c r="AG13" i="33" a="1"/>
  <c r="AG13" i="33" s="1"/>
  <c r="K2" i="33" a="1"/>
  <c r="K2" i="33" s="1"/>
  <c r="U2" i="33" a="1"/>
  <c r="U2" i="33" s="1"/>
  <c r="AE2" i="33" a="1"/>
  <c r="AE2" i="33" s="1"/>
  <c r="AJ7" i="26" a="1"/>
  <c r="AJ7" i="26" s="1"/>
  <c r="AK6" i="24" a="1"/>
  <c r="AK6" i="24" s="1"/>
  <c r="AK4" i="23" a="1"/>
  <c r="AK4" i="23" s="1"/>
  <c r="AK3" i="20" a="1"/>
  <c r="AK3" i="20" s="1"/>
  <c r="AK3" i="19" a="1"/>
  <c r="AK3" i="19" s="1"/>
  <c r="AK7" i="27" a="1"/>
  <c r="AK7" i="27" s="1"/>
  <c r="AK2" i="27" a="1"/>
  <c r="AK2" i="27" s="1"/>
  <c r="N3" i="27" a="1"/>
  <c r="N3" i="27" s="1"/>
  <c r="X3" i="27" a="1"/>
  <c r="X3" i="27" s="1"/>
  <c r="AH3" i="27" a="1"/>
  <c r="AH3" i="27" s="1"/>
  <c r="K4" i="27" a="1"/>
  <c r="K4" i="27" s="1"/>
  <c r="U4" i="27" a="1"/>
  <c r="U4" i="27" s="1"/>
  <c r="AD4" i="27" a="1"/>
  <c r="AD4" i="27" s="1"/>
  <c r="G5" i="27" a="1"/>
  <c r="G5" i="27" s="1"/>
  <c r="Q5" i="27" a="1"/>
  <c r="Q5" i="27" s="1"/>
  <c r="AA5" i="27" a="1"/>
  <c r="AA5" i="27" s="1"/>
  <c r="AL5" i="27" a="1"/>
  <c r="AL5" i="27" s="1"/>
  <c r="N6" i="27" a="1"/>
  <c r="N6" i="27" s="1"/>
  <c r="X6" i="27" a="1"/>
  <c r="X6" i="27" s="1"/>
  <c r="AH6" i="27" a="1"/>
  <c r="AH6" i="27" s="1"/>
  <c r="J7" i="27" a="1"/>
  <c r="J7" i="27" s="1"/>
  <c r="S7" i="27" a="1"/>
  <c r="S7" i="27" s="1"/>
  <c r="AC7" i="27" a="1"/>
  <c r="AC7" i="27" s="1"/>
  <c r="F8" i="27" a="1"/>
  <c r="F8" i="27" s="1"/>
  <c r="P8" i="27" a="1"/>
  <c r="P8" i="27" s="1"/>
  <c r="Z8" i="27" a="1"/>
  <c r="Z8" i="27" s="1"/>
  <c r="AJ8" i="27" a="1"/>
  <c r="AJ8" i="27" s="1"/>
  <c r="M9" i="27" a="1"/>
  <c r="M9" i="27" s="1"/>
  <c r="W9" i="27" a="1"/>
  <c r="W9" i="27" s="1"/>
  <c r="AG9" i="27" a="1"/>
  <c r="AG9" i="27" s="1"/>
  <c r="J10" i="27" a="1"/>
  <c r="J10" i="27" s="1"/>
  <c r="T10" i="27" a="1"/>
  <c r="T10" i="27" s="1"/>
  <c r="AD10" i="27" a="1"/>
  <c r="AD10" i="27" s="1"/>
  <c r="G11" i="27" a="1"/>
  <c r="G11" i="27" s="1"/>
  <c r="AK9" i="33" a="1"/>
  <c r="AK9" i="33" s="1"/>
  <c r="I3" i="33" a="1"/>
  <c r="I3" i="33" s="1"/>
  <c r="S3" i="33" a="1"/>
  <c r="S3" i="33" s="1"/>
  <c r="AC3" i="33" a="1"/>
  <c r="AC3" i="33" s="1"/>
  <c r="F4" i="33" a="1"/>
  <c r="F4" i="33" s="1"/>
  <c r="P4" i="33" a="1"/>
  <c r="P4" i="33" s="1"/>
  <c r="Y4" i="33" a="1"/>
  <c r="Y4" i="33" s="1"/>
  <c r="AI4" i="33" a="1"/>
  <c r="AI4" i="33" s="1"/>
  <c r="L5" i="33" a="1"/>
  <c r="L5" i="33" s="1"/>
  <c r="V5" i="33" a="1"/>
  <c r="V5" i="33" s="1"/>
  <c r="AF5" i="33" a="1"/>
  <c r="AF5" i="33" s="1"/>
  <c r="I6" i="33" a="1"/>
  <c r="I6" i="33" s="1"/>
  <c r="S6" i="33" a="1"/>
  <c r="S6" i="33" s="1"/>
  <c r="AC6" i="33" a="1"/>
  <c r="AC6" i="33" s="1"/>
  <c r="F7" i="33" a="1"/>
  <c r="F7" i="33" s="1"/>
  <c r="P7" i="33" a="1"/>
  <c r="P7" i="33" s="1"/>
  <c r="Z7" i="33" a="1"/>
  <c r="Z7" i="33" s="1"/>
  <c r="AJ7" i="33" a="1"/>
  <c r="AJ7" i="33" s="1"/>
  <c r="L8" i="33" a="1"/>
  <c r="L8" i="33" s="1"/>
  <c r="V8" i="33" a="1"/>
  <c r="V8" i="33" s="1"/>
  <c r="AF8" i="33" a="1"/>
  <c r="AF8" i="33" s="1"/>
  <c r="I9" i="33" a="1"/>
  <c r="I9" i="33" s="1"/>
  <c r="S9" i="33" a="1"/>
  <c r="S9" i="33" s="1"/>
  <c r="AC9" i="33" a="1"/>
  <c r="AC9" i="33" s="1"/>
  <c r="F10" i="33" a="1"/>
  <c r="F10" i="33" s="1"/>
  <c r="P10" i="33" a="1"/>
  <c r="P10" i="33" s="1"/>
  <c r="Z10" i="33" a="1"/>
  <c r="Z10" i="33" s="1"/>
  <c r="AJ10" i="33" a="1"/>
  <c r="AJ10" i="33" s="1"/>
  <c r="M11" i="33" a="1"/>
  <c r="M11" i="33" s="1"/>
  <c r="W11" i="33" a="1"/>
  <c r="W11" i="33" s="1"/>
  <c r="AG11" i="33" a="1"/>
  <c r="AG11" i="33" s="1"/>
  <c r="I12" i="33" a="1"/>
  <c r="I12" i="33" s="1"/>
  <c r="R12" i="33" a="1"/>
  <c r="R12" i="33" s="1"/>
  <c r="AB12" i="33" a="1"/>
  <c r="AB12" i="33" s="1"/>
  <c r="E13" i="33" a="1"/>
  <c r="E13" i="33" s="1"/>
  <c r="O13" i="33" a="1"/>
  <c r="O13" i="33" s="1"/>
  <c r="Y13" i="33" a="1"/>
  <c r="Y13" i="33" s="1"/>
  <c r="AH13" i="33" a="1"/>
  <c r="AH13" i="33" s="1"/>
  <c r="L2" i="33" a="1"/>
  <c r="L2" i="33" s="1"/>
  <c r="V2" i="33" a="1"/>
  <c r="V2" i="33" s="1"/>
  <c r="AF2" i="33" a="1"/>
  <c r="AF2" i="33" s="1"/>
  <c r="AJ3" i="26" a="1"/>
  <c r="AJ3" i="26" s="1"/>
  <c r="AK7" i="26" a="1"/>
  <c r="AK7" i="26" s="1"/>
  <c r="AK7" i="24" a="1"/>
  <c r="AK7" i="24" s="1"/>
  <c r="AK4" i="20" a="1"/>
  <c r="AK4" i="20" s="1"/>
  <c r="AK4" i="19" a="1"/>
  <c r="AK4" i="19" s="1"/>
  <c r="E3" i="27" a="1"/>
  <c r="E3" i="27" s="1"/>
  <c r="O3" i="27" a="1"/>
  <c r="O3" i="27" s="1"/>
  <c r="Y3" i="27" a="1"/>
  <c r="Y3" i="27" s="1"/>
  <c r="AI3" i="27" a="1"/>
  <c r="AI3" i="27" s="1"/>
  <c r="L4" i="27" a="1"/>
  <c r="L4" i="27" s="1"/>
  <c r="AE4" i="27" a="1"/>
  <c r="AE4" i="27" s="1"/>
  <c r="H5" i="27" a="1"/>
  <c r="H5" i="27" s="1"/>
  <c r="R5" i="27" a="1"/>
  <c r="R5" i="27" s="1"/>
  <c r="AB5" i="27" a="1"/>
  <c r="AB5" i="27" s="1"/>
  <c r="E6" i="27" a="1"/>
  <c r="E6" i="27" s="1"/>
  <c r="O6" i="27" a="1"/>
  <c r="O6" i="27" s="1"/>
  <c r="Y6" i="27" a="1"/>
  <c r="Y6" i="27" s="1"/>
  <c r="AI6" i="27" a="1"/>
  <c r="AI6" i="27" s="1"/>
  <c r="K7" i="27" a="1"/>
  <c r="K7" i="27" s="1"/>
  <c r="T7" i="27" a="1"/>
  <c r="T7" i="27" s="1"/>
  <c r="AD7" i="27" a="1"/>
  <c r="AD7" i="27" s="1"/>
  <c r="G8" i="27" a="1"/>
  <c r="G8" i="27" s="1"/>
  <c r="Q8" i="27" a="1"/>
  <c r="Q8" i="27" s="1"/>
  <c r="AA8" i="27" a="1"/>
  <c r="AA8" i="27" s="1"/>
  <c r="AL8" i="27" a="1"/>
  <c r="AL8" i="27" s="1"/>
  <c r="N9" i="27" a="1"/>
  <c r="N9" i="27" s="1"/>
  <c r="X9" i="27" a="1"/>
  <c r="X9" i="27" s="1"/>
  <c r="AH9" i="27" a="1"/>
  <c r="AH9" i="27" s="1"/>
  <c r="K10" i="27" a="1"/>
  <c r="K10" i="27" s="1"/>
  <c r="U10" i="27" a="1"/>
  <c r="U10" i="27" s="1"/>
  <c r="AE10" i="27" a="1"/>
  <c r="AE10" i="27" s="1"/>
  <c r="H11" i="27" a="1"/>
  <c r="H11" i="27" s="1"/>
  <c r="Q11" i="27" a="1"/>
  <c r="Q11" i="27" s="1"/>
  <c r="AA11" i="27" a="1"/>
  <c r="AA11" i="27" s="1"/>
  <c r="AL11" i="27" a="1"/>
  <c r="AL11" i="27" s="1"/>
  <c r="N12" i="27" a="1"/>
  <c r="N12" i="27" s="1"/>
  <c r="W12" i="27" a="1"/>
  <c r="W12" i="27" s="1"/>
  <c r="AG12" i="27" a="1"/>
  <c r="AG12" i="27" s="1"/>
  <c r="J13" i="27" a="1"/>
  <c r="J13" i="27" s="1"/>
  <c r="S13" i="27" a="1"/>
  <c r="S13" i="27" s="1"/>
  <c r="AK10" i="33" a="1"/>
  <c r="AK10" i="33" s="1"/>
  <c r="J3" i="33" a="1"/>
  <c r="J3" i="33" s="1"/>
  <c r="T3" i="33" a="1"/>
  <c r="T3" i="33" s="1"/>
  <c r="AD3" i="33" a="1"/>
  <c r="AD3" i="33" s="1"/>
  <c r="G4" i="33" a="1"/>
  <c r="G4" i="33" s="1"/>
  <c r="Z4" i="33" a="1"/>
  <c r="Z4" i="33" s="1"/>
  <c r="AJ4" i="33" a="1"/>
  <c r="AJ4" i="33" s="1"/>
  <c r="M5" i="33" a="1"/>
  <c r="M5" i="33" s="1"/>
  <c r="W5" i="33" a="1"/>
  <c r="W5" i="33" s="1"/>
  <c r="AG5" i="33" a="1"/>
  <c r="AG5" i="33" s="1"/>
  <c r="J6" i="33" a="1"/>
  <c r="J6" i="33" s="1"/>
  <c r="T6" i="33" a="1"/>
  <c r="T6" i="33" s="1"/>
  <c r="AD6" i="33" a="1"/>
  <c r="AD6" i="33" s="1"/>
  <c r="G7" i="33" a="1"/>
  <c r="G7" i="33" s="1"/>
  <c r="Q7" i="33" a="1"/>
  <c r="Q7" i="33" s="1"/>
  <c r="AA7" i="33" a="1"/>
  <c r="AA7" i="33" s="1"/>
  <c r="AL7" i="33" a="1"/>
  <c r="AL7" i="33" s="1"/>
  <c r="M8" i="33" a="1"/>
  <c r="M8" i="33" s="1"/>
  <c r="W8" i="33" a="1"/>
  <c r="W8" i="33" s="1"/>
  <c r="AG8" i="33" a="1"/>
  <c r="AG8" i="33" s="1"/>
  <c r="J9" i="33" a="1"/>
  <c r="J9" i="33" s="1"/>
  <c r="T9" i="33" a="1"/>
  <c r="T9" i="33" s="1"/>
  <c r="AD9" i="33" a="1"/>
  <c r="AD9" i="33" s="1"/>
  <c r="G10" i="33" a="1"/>
  <c r="G10" i="33" s="1"/>
  <c r="Q10" i="33" a="1"/>
  <c r="Q10" i="33" s="1"/>
  <c r="AA10" i="33" a="1"/>
  <c r="AA10" i="33" s="1"/>
  <c r="AL10" i="33" a="1"/>
  <c r="AL10" i="33" s="1"/>
  <c r="N11" i="33" a="1"/>
  <c r="N11" i="33" s="1"/>
  <c r="X11" i="33" a="1"/>
  <c r="X11" i="33" s="1"/>
  <c r="AH11" i="33" a="1"/>
  <c r="AH11" i="33" s="1"/>
  <c r="J12" i="33" a="1"/>
  <c r="J12" i="33" s="1"/>
  <c r="S12" i="33" a="1"/>
  <c r="S12" i="33" s="1"/>
  <c r="AC12" i="33" a="1"/>
  <c r="AC12" i="33" s="1"/>
  <c r="F13" i="33" a="1"/>
  <c r="F13" i="33" s="1"/>
  <c r="P13" i="33" a="1"/>
  <c r="P13" i="33" s="1"/>
  <c r="Z13" i="33" a="1"/>
  <c r="Z13" i="33" s="1"/>
  <c r="AI13" i="33" a="1"/>
  <c r="AI13" i="33" s="1"/>
  <c r="M2" i="33" a="1"/>
  <c r="M2" i="33" s="1"/>
  <c r="W2" i="33" a="1"/>
  <c r="W2" i="33" s="1"/>
  <c r="AG2" i="33" a="1"/>
  <c r="AG2" i="33" s="1"/>
  <c r="AK3" i="26" a="1"/>
  <c r="AK3" i="26" s="1"/>
  <c r="AK2" i="26" a="1"/>
  <c r="AK2" i="26" s="1"/>
  <c r="AK8" i="24" a="1"/>
  <c r="AK8" i="24" s="1"/>
  <c r="AK11" i="33" a="1"/>
  <c r="AK11" i="33" s="1"/>
  <c r="K3" i="33" a="1"/>
  <c r="K3" i="33" s="1"/>
  <c r="U3" i="33" a="1"/>
  <c r="U3" i="33" s="1"/>
  <c r="AE3" i="33" a="1"/>
  <c r="AE3" i="33" s="1"/>
  <c r="H4" i="33" a="1"/>
  <c r="H4" i="33" s="1"/>
  <c r="Q4" i="33" a="1"/>
  <c r="Q4" i="33" s="1"/>
  <c r="AA4" i="33" a="1"/>
  <c r="AA4" i="33" s="1"/>
  <c r="AL4" i="33" a="1"/>
  <c r="AL4" i="33" s="1"/>
  <c r="N5" i="33" a="1"/>
  <c r="N5" i="33" s="1"/>
  <c r="X5" i="33" a="1"/>
  <c r="X5" i="33" s="1"/>
  <c r="AH5" i="33" a="1"/>
  <c r="AH5" i="33" s="1"/>
  <c r="K6" i="33" a="1"/>
  <c r="K6" i="33" s="1"/>
  <c r="U6" i="33" a="1"/>
  <c r="U6" i="33" s="1"/>
  <c r="AE6" i="33" a="1"/>
  <c r="AE6" i="33" s="1"/>
  <c r="H7" i="33" a="1"/>
  <c r="H7" i="33" s="1"/>
  <c r="R7" i="33" a="1"/>
  <c r="R7" i="33" s="1"/>
  <c r="AB7" i="33" a="1"/>
  <c r="AB7" i="33" s="1"/>
  <c r="E8" i="33" a="1"/>
  <c r="E8" i="33" s="1"/>
  <c r="N8" i="33" a="1"/>
  <c r="N8" i="33" s="1"/>
  <c r="X8" i="33" a="1"/>
  <c r="X8" i="33" s="1"/>
  <c r="AH8" i="33" a="1"/>
  <c r="AH8" i="33" s="1"/>
  <c r="K9" i="33" a="1"/>
  <c r="K9" i="33" s="1"/>
  <c r="U9" i="33" a="1"/>
  <c r="U9" i="33" s="1"/>
  <c r="AE9" i="33" a="1"/>
  <c r="AE9" i="33" s="1"/>
  <c r="H10" i="33" a="1"/>
  <c r="H10" i="33" s="1"/>
  <c r="R10" i="33" a="1"/>
  <c r="R10" i="33" s="1"/>
  <c r="AB10" i="33" a="1"/>
  <c r="AB10" i="33" s="1"/>
  <c r="E11" i="33" a="1"/>
  <c r="E11" i="33" s="1"/>
  <c r="O11" i="33" a="1"/>
  <c r="O11" i="33" s="1"/>
  <c r="Y11" i="33" a="1"/>
  <c r="Y11" i="33" s="1"/>
  <c r="AI11" i="33" a="1"/>
  <c r="AI11" i="33" s="1"/>
  <c r="K12" i="33" a="1"/>
  <c r="K12" i="33" s="1"/>
  <c r="T12" i="33" a="1"/>
  <c r="T12" i="33" s="1"/>
  <c r="AD12" i="33" a="1"/>
  <c r="AD12" i="33" s="1"/>
  <c r="G13" i="33" a="1"/>
  <c r="G13" i="33" s="1"/>
  <c r="Q13" i="33" a="1"/>
  <c r="Q13" i="33" s="1"/>
  <c r="AA13" i="33" a="1"/>
  <c r="AA13" i="33" s="1"/>
  <c r="AJ13" i="33" a="1"/>
  <c r="AJ13" i="33" s="1"/>
  <c r="N2" i="33" a="1"/>
  <c r="N2" i="33" s="1"/>
  <c r="X2" i="33" a="1"/>
  <c r="X2" i="33" s="1"/>
  <c r="AH2" i="33" a="1"/>
  <c r="AH2" i="33" s="1"/>
  <c r="AJ4" i="26" a="1"/>
  <c r="AJ4" i="26" s="1"/>
  <c r="AK3" i="25" a="1"/>
  <c r="AK3" i="25" s="1"/>
  <c r="AK9" i="24" a="1"/>
  <c r="AK9" i="24" s="1"/>
  <c r="AK6" i="23" a="1"/>
  <c r="AK6" i="23" s="1"/>
  <c r="AK6" i="20" a="1"/>
  <c r="AK6" i="20" s="1"/>
  <c r="AK6" i="19" a="1"/>
  <c r="AK6" i="19" s="1"/>
  <c r="AK9" i="27" a="1"/>
  <c r="AK9" i="27" s="1"/>
  <c r="G3" i="27" a="1"/>
  <c r="G3" i="27" s="1"/>
  <c r="Q3" i="27" a="1"/>
  <c r="Q3" i="27" s="1"/>
  <c r="AK12" i="33" a="1"/>
  <c r="AK12" i="33" s="1"/>
  <c r="L3" i="33" a="1"/>
  <c r="L3" i="33" s="1"/>
  <c r="V3" i="33" a="1"/>
  <c r="V3" i="33" s="1"/>
  <c r="AF3" i="33" a="1"/>
  <c r="AF3" i="33" s="1"/>
  <c r="I4" i="33" a="1"/>
  <c r="I4" i="33" s="1"/>
  <c r="R4" i="33" a="1"/>
  <c r="R4" i="33" s="1"/>
  <c r="AB4" i="33" a="1"/>
  <c r="AB4" i="33" s="1"/>
  <c r="E5" i="33" a="1"/>
  <c r="E5" i="33" s="1"/>
  <c r="O5" i="33" a="1"/>
  <c r="O5" i="33" s="1"/>
  <c r="Y5" i="33" a="1"/>
  <c r="Y5" i="33" s="1"/>
  <c r="AI5" i="33" a="1"/>
  <c r="AI5" i="33" s="1"/>
  <c r="L6" i="33" a="1"/>
  <c r="L6" i="33" s="1"/>
  <c r="V6" i="33" a="1"/>
  <c r="V6" i="33" s="1"/>
  <c r="AF6" i="33" a="1"/>
  <c r="AF6" i="33" s="1"/>
  <c r="I7" i="33" a="1"/>
  <c r="I7" i="33" s="1"/>
  <c r="S7" i="33" a="1"/>
  <c r="S7" i="33" s="1"/>
  <c r="AC7" i="33" a="1"/>
  <c r="AC7" i="33" s="1"/>
  <c r="F8" i="33" a="1"/>
  <c r="F8" i="33" s="1"/>
  <c r="O8" i="33" a="1"/>
  <c r="O8" i="33" s="1"/>
  <c r="Y8" i="33" a="1"/>
  <c r="Y8" i="33" s="1"/>
  <c r="AI8" i="33" a="1"/>
  <c r="AI8" i="33" s="1"/>
  <c r="L9" i="33" a="1"/>
  <c r="L9" i="33" s="1"/>
  <c r="V9" i="33" a="1"/>
  <c r="V9" i="33" s="1"/>
  <c r="AF9" i="33" a="1"/>
  <c r="AF9" i="33" s="1"/>
  <c r="I10" i="33" a="1"/>
  <c r="I10" i="33" s="1"/>
  <c r="S10" i="33" a="1"/>
  <c r="S10" i="33" s="1"/>
  <c r="AC10" i="33" a="1"/>
  <c r="AC10" i="33" s="1"/>
  <c r="F11" i="33" a="1"/>
  <c r="F11" i="33" s="1"/>
  <c r="P11" i="33" a="1"/>
  <c r="P11" i="33" s="1"/>
  <c r="Z11" i="33" a="1"/>
  <c r="Z11" i="33" s="1"/>
  <c r="L12" i="33" a="1"/>
  <c r="L12" i="33" s="1"/>
  <c r="U12" i="33" a="1"/>
  <c r="U12" i="33" s="1"/>
  <c r="AE12" i="33" a="1"/>
  <c r="AE12" i="33" s="1"/>
  <c r="H13" i="33" a="1"/>
  <c r="H13" i="33" s="1"/>
  <c r="R13" i="33" a="1"/>
  <c r="R13" i="33" s="1"/>
  <c r="AB13" i="33" a="1"/>
  <c r="AB13" i="33" s="1"/>
  <c r="AL13" i="33" a="1"/>
  <c r="AL13" i="33" s="1"/>
  <c r="O2" i="33" a="1"/>
  <c r="O2" i="33" s="1"/>
  <c r="Y2" i="33" a="1"/>
  <c r="Y2" i="33" s="1"/>
  <c r="AK3" i="33" a="1"/>
  <c r="AK3" i="33" s="1"/>
  <c r="AK13" i="33" a="1"/>
  <c r="AK13" i="33" s="1"/>
  <c r="M3" i="33" a="1"/>
  <c r="M3" i="33" s="1"/>
  <c r="W3" i="33" a="1"/>
  <c r="W3" i="33" s="1"/>
  <c r="AG3" i="33" a="1"/>
  <c r="AG3" i="33" s="1"/>
  <c r="J4" i="33" a="1"/>
  <c r="J4" i="33" s="1"/>
  <c r="S4" i="33" a="1"/>
  <c r="S4" i="33" s="1"/>
  <c r="AC4" i="33" a="1"/>
  <c r="AC4" i="33" s="1"/>
  <c r="F5" i="33" a="1"/>
  <c r="F5" i="33" s="1"/>
  <c r="P5" i="33" a="1"/>
  <c r="P5" i="33" s="1"/>
  <c r="Z5" i="33" a="1"/>
  <c r="Z5" i="33" s="1"/>
  <c r="AJ5" i="33" a="1"/>
  <c r="AJ5" i="33" s="1"/>
  <c r="M6" i="33" a="1"/>
  <c r="M6" i="33" s="1"/>
  <c r="W6" i="33" a="1"/>
  <c r="W6" i="33" s="1"/>
  <c r="AG6" i="33" a="1"/>
  <c r="AG6" i="33" s="1"/>
  <c r="J7" i="33" a="1"/>
  <c r="J7" i="33" s="1"/>
  <c r="T7" i="33" a="1"/>
  <c r="T7" i="33" s="1"/>
  <c r="AD7" i="33" a="1"/>
  <c r="AD7" i="33" s="1"/>
  <c r="G8" i="33" a="1"/>
  <c r="G8" i="33" s="1"/>
  <c r="P8" i="33" a="1"/>
  <c r="P8" i="33" s="1"/>
  <c r="Z8" i="33" a="1"/>
  <c r="Z8" i="33" s="1"/>
  <c r="AJ8" i="33" a="1"/>
  <c r="AJ8" i="33" s="1"/>
  <c r="M9" i="33" a="1"/>
  <c r="M9" i="33" s="1"/>
  <c r="W9" i="33" a="1"/>
  <c r="W9" i="33" s="1"/>
  <c r="AG9" i="33" a="1"/>
  <c r="AG9" i="33" s="1"/>
  <c r="J10" i="33" a="1"/>
  <c r="J10" i="33" s="1"/>
  <c r="T10" i="33" a="1"/>
  <c r="T10" i="33" s="1"/>
  <c r="AD10" i="33" a="1"/>
  <c r="AD10" i="33" s="1"/>
  <c r="G11" i="33" a="1"/>
  <c r="G11" i="33" s="1"/>
  <c r="Q11" i="33" a="1"/>
  <c r="Q11" i="33" s="1"/>
  <c r="AA11" i="33" a="1"/>
  <c r="AA11" i="33" s="1"/>
  <c r="AJ11" i="33" a="1"/>
  <c r="AJ11" i="33" s="1"/>
  <c r="V12" i="33" a="1"/>
  <c r="V12" i="33" s="1"/>
  <c r="AF12" i="33" a="1"/>
  <c r="AF12" i="33" s="1"/>
  <c r="I13" i="33" a="1"/>
  <c r="I13" i="33" s="1"/>
  <c r="S13" i="33" a="1"/>
  <c r="S13" i="33" s="1"/>
  <c r="AC13" i="33" a="1"/>
  <c r="AC13" i="33" s="1"/>
  <c r="F2" i="33" a="1"/>
  <c r="F2" i="33" s="1"/>
  <c r="P2" i="33" a="1"/>
  <c r="P2" i="33" s="1"/>
  <c r="Z2" i="33" a="1"/>
  <c r="Z2" i="33" s="1"/>
  <c r="AJ2" i="33" a="1"/>
  <c r="AJ2" i="33" s="1"/>
  <c r="AK4" i="33" a="1"/>
  <c r="AK4" i="33" s="1"/>
  <c r="AK2" i="33" a="1"/>
  <c r="AK2" i="33" s="1"/>
  <c r="N3" i="33" a="1"/>
  <c r="N3" i="33" s="1"/>
  <c r="X3" i="33" a="1"/>
  <c r="X3" i="33" s="1"/>
  <c r="AH3" i="33" a="1"/>
  <c r="AH3" i="33" s="1"/>
  <c r="K4" i="33" a="1"/>
  <c r="K4" i="33" s="1"/>
  <c r="AK5" i="33" a="1"/>
  <c r="AK5" i="33" s="1"/>
  <c r="E3" i="33" a="1"/>
  <c r="E3" i="33" s="1"/>
  <c r="O3" i="33" a="1"/>
  <c r="O3" i="33" s="1"/>
  <c r="Y3" i="33" a="1"/>
  <c r="Y3" i="33" s="1"/>
  <c r="AI3" i="33" a="1"/>
  <c r="AI3" i="33" s="1"/>
  <c r="L4" i="33" a="1"/>
  <c r="L4" i="33" s="1"/>
  <c r="U4" i="33" a="1"/>
  <c r="U4" i="33" s="1"/>
  <c r="AE4" i="33" a="1"/>
  <c r="AE4" i="33" s="1"/>
  <c r="H5" i="33" a="1"/>
  <c r="H5" i="33" s="1"/>
  <c r="R5" i="33" a="1"/>
  <c r="R5" i="33" s="1"/>
  <c r="AB5" i="33" a="1"/>
  <c r="AB5" i="33" s="1"/>
  <c r="E6" i="33" a="1"/>
  <c r="E6" i="33" s="1"/>
  <c r="O6" i="33" a="1"/>
  <c r="O6" i="33" s="1"/>
  <c r="Y6" i="33" a="1"/>
  <c r="Y6" i="33" s="1"/>
  <c r="AI6" i="33" a="1"/>
  <c r="AI6" i="33" s="1"/>
  <c r="L7" i="33" a="1"/>
  <c r="L7" i="33" s="1"/>
  <c r="V7" i="33" a="1"/>
  <c r="V7" i="33" s="1"/>
  <c r="AF7" i="33" a="1"/>
  <c r="AF7" i="33" s="1"/>
  <c r="I8" i="33" a="1"/>
  <c r="I8" i="33" s="1"/>
  <c r="R8" i="33" a="1"/>
  <c r="R8" i="33" s="1"/>
  <c r="AB8" i="33" a="1"/>
  <c r="AB8" i="33" s="1"/>
  <c r="E9" i="33" a="1"/>
  <c r="E9" i="33" s="1"/>
  <c r="O9" i="33" a="1"/>
  <c r="O9" i="33" s="1"/>
  <c r="Y9" i="33" a="1"/>
  <c r="Y9" i="33" s="1"/>
  <c r="AI9" i="33" a="1"/>
  <c r="AI9" i="33" s="1"/>
  <c r="L10" i="33" a="1"/>
  <c r="L10" i="33" s="1"/>
  <c r="V10" i="33" a="1"/>
  <c r="V10" i="33" s="1"/>
  <c r="AF10" i="33" a="1"/>
  <c r="AF10" i="33" s="1"/>
  <c r="I11" i="33" a="1"/>
  <c r="I11" i="33" s="1"/>
  <c r="S11" i="33" a="1"/>
  <c r="S11" i="33" s="1"/>
  <c r="AC11" i="33" a="1"/>
  <c r="AC11" i="33" s="1"/>
  <c r="E12" i="33" a="1"/>
  <c r="E12" i="33" s="1"/>
  <c r="N12" i="33" a="1"/>
  <c r="N12" i="33" s="1"/>
  <c r="X12" i="33" a="1"/>
  <c r="X12" i="33" s="1"/>
  <c r="AH12" i="33" a="1"/>
  <c r="AH12" i="33" s="1"/>
  <c r="K13" i="33" a="1"/>
  <c r="K13" i="33" s="1"/>
  <c r="U13" i="33" a="1"/>
  <c r="U13" i="33" s="1"/>
  <c r="AD13" i="33" a="1"/>
  <c r="AD13" i="33" s="1"/>
  <c r="H2" i="33" a="1"/>
  <c r="H2" i="33" s="1"/>
  <c r="R2" i="33" a="1"/>
  <c r="R2" i="33" s="1"/>
  <c r="AB2" i="33" a="1"/>
  <c r="AB2" i="33" s="1"/>
  <c r="AK6" i="33" a="1"/>
  <c r="AK6" i="33" s="1"/>
  <c r="F3" i="33" a="1"/>
  <c r="F3" i="33" s="1"/>
  <c r="P3" i="33" a="1"/>
  <c r="P3" i="33" s="1"/>
  <c r="Z3" i="33" a="1"/>
  <c r="Z3" i="33" s="1"/>
  <c r="AJ3" i="33" a="1"/>
  <c r="AJ3" i="33" s="1"/>
  <c r="M4" i="33" a="1"/>
  <c r="M4" i="33" s="1"/>
  <c r="V4" i="33" a="1"/>
  <c r="V4" i="33" s="1"/>
  <c r="AF4" i="33" a="1"/>
  <c r="AF4" i="33" s="1"/>
  <c r="I5" i="33" a="1"/>
  <c r="I5" i="33" s="1"/>
  <c r="S5" i="33" a="1"/>
  <c r="S5" i="33" s="1"/>
  <c r="AC5" i="33" a="1"/>
  <c r="AC5" i="33" s="1"/>
  <c r="F6" i="33" a="1"/>
  <c r="F6" i="33" s="1"/>
  <c r="P6" i="33" a="1"/>
  <c r="P6" i="33" s="1"/>
  <c r="Z6" i="33" a="1"/>
  <c r="Z6" i="33" s="1"/>
  <c r="AJ6" i="33" a="1"/>
  <c r="AJ6" i="33" s="1"/>
  <c r="M7" i="33" a="1"/>
  <c r="M7" i="33" s="1"/>
  <c r="W7" i="33" a="1"/>
  <c r="W7" i="33" s="1"/>
  <c r="AG7" i="33" a="1"/>
  <c r="AG7" i="33" s="1"/>
  <c r="S8" i="33" a="1"/>
  <c r="S8" i="33" s="1"/>
  <c r="AC8" i="33" a="1"/>
  <c r="AC8" i="33" s="1"/>
  <c r="F9" i="33" a="1"/>
  <c r="F9" i="33" s="1"/>
  <c r="P9" i="33" a="1"/>
  <c r="P9" i="33" s="1"/>
  <c r="Z9" i="33" a="1"/>
  <c r="Z9" i="33" s="1"/>
  <c r="AJ9" i="33" a="1"/>
  <c r="AJ9" i="33" s="1"/>
  <c r="M10" i="33" a="1"/>
  <c r="M10" i="33" s="1"/>
  <c r="W10" i="33" a="1"/>
  <c r="W10" i="33" s="1"/>
  <c r="AG10" i="33" a="1"/>
  <c r="AG10" i="33" s="1"/>
  <c r="J11" i="33" a="1"/>
  <c r="J11" i="33" s="1"/>
  <c r="T11" i="33" a="1"/>
  <c r="T11" i="33" s="1"/>
  <c r="AD11" i="33" a="1"/>
  <c r="AD11" i="33" s="1"/>
  <c r="F12" i="33" a="1"/>
  <c r="F12" i="33" s="1"/>
  <c r="O12" i="33" a="1"/>
  <c r="O12" i="33" s="1"/>
  <c r="Y12" i="33" a="1"/>
  <c r="Y12" i="33" s="1"/>
  <c r="AI12" i="33" a="1"/>
  <c r="AI12" i="33" s="1"/>
  <c r="L13" i="33" a="1"/>
  <c r="L13" i="33" s="1"/>
  <c r="V13" i="33" a="1"/>
  <c r="V13" i="33" s="1"/>
  <c r="AE13" i="33" a="1"/>
  <c r="AE13" i="33" s="1"/>
  <c r="I2" i="33" a="1"/>
  <c r="I2" i="33" s="1"/>
  <c r="S2" i="33" a="1"/>
  <c r="S2" i="33" s="1"/>
  <c r="AC2" i="33" a="1"/>
  <c r="AC2" i="33" s="1"/>
  <c r="AJ6" i="26" a="1"/>
  <c r="AJ6" i="26" s="1"/>
  <c r="AK4" i="24" a="1"/>
  <c r="AK4" i="24" s="1"/>
  <c r="AK2" i="24" a="1"/>
  <c r="AK2" i="24" s="1"/>
  <c r="AK11" i="23" a="1"/>
  <c r="AK11" i="23" s="1"/>
  <c r="AK11" i="20" a="1"/>
  <c r="AK11" i="20" s="1"/>
  <c r="AK5" i="27" a="1"/>
  <c r="AK5" i="27" s="1"/>
  <c r="AK14" i="27" a="1"/>
  <c r="AK14" i="27" s="1"/>
  <c r="L3" i="27" a="1"/>
  <c r="L3" i="27" s="1"/>
  <c r="V3" i="27" a="1"/>
  <c r="V3" i="27" s="1"/>
  <c r="AF3" i="27" a="1"/>
  <c r="AF3" i="27" s="1"/>
  <c r="I4" i="27" a="1"/>
  <c r="I4" i="27" s="1"/>
  <c r="S4" i="27" a="1"/>
  <c r="S4" i="27" s="1"/>
  <c r="AB4" i="27" a="1"/>
  <c r="AB4" i="27" s="1"/>
  <c r="E5" i="27" a="1"/>
  <c r="E5" i="27" s="1"/>
  <c r="O5" i="27" a="1"/>
  <c r="O5" i="27" s="1"/>
  <c r="Y5" i="27" a="1"/>
  <c r="Y5" i="27" s="1"/>
  <c r="AI5" i="27" a="1"/>
  <c r="AI5" i="27" s="1"/>
  <c r="L6" i="27" a="1"/>
  <c r="L6" i="27" s="1"/>
  <c r="V6" i="27" a="1"/>
  <c r="V6" i="27" s="1"/>
  <c r="AF6" i="27" a="1"/>
  <c r="AF6" i="27" s="1"/>
  <c r="H7" i="27" a="1"/>
  <c r="H7" i="27" s="1"/>
  <c r="AA7" i="27" a="1"/>
  <c r="AA7" i="27" s="1"/>
  <c r="AL7" i="27" a="1"/>
  <c r="AL7" i="27" s="1"/>
  <c r="AK7" i="33" a="1"/>
  <c r="AK7" i="33" s="1"/>
  <c r="G3" i="33" a="1"/>
  <c r="G3" i="33" s="1"/>
  <c r="Q3" i="33" a="1"/>
  <c r="Q3" i="33" s="1"/>
  <c r="AA3" i="33" a="1"/>
  <c r="AA3" i="33" s="1"/>
  <c r="AL3" i="33" a="1"/>
  <c r="AL3" i="33" s="1"/>
  <c r="N4" i="33" a="1"/>
  <c r="N4" i="33" s="1"/>
  <c r="W4" i="33" a="1"/>
  <c r="W4" i="33" s="1"/>
  <c r="AG4" i="33" a="1"/>
  <c r="AG4" i="33" s="1"/>
  <c r="J5" i="33" a="1"/>
  <c r="J5" i="33" s="1"/>
  <c r="T5" i="33" a="1"/>
  <c r="T5" i="33" s="1"/>
  <c r="AD5" i="33" a="1"/>
  <c r="AD5" i="33" s="1"/>
  <c r="G6" i="33" a="1"/>
  <c r="G6" i="33" s="1"/>
  <c r="Q6" i="33" a="1"/>
  <c r="Q6" i="33" s="1"/>
  <c r="AA6" i="33" a="1"/>
  <c r="AA6" i="33" s="1"/>
  <c r="AL6" i="33" a="1"/>
  <c r="AL6" i="33" s="1"/>
  <c r="N7" i="33" a="1"/>
  <c r="N7" i="33" s="1"/>
  <c r="X7" i="33" a="1"/>
  <c r="X7" i="33" s="1"/>
  <c r="AH7" i="33" a="1"/>
  <c r="AH7" i="33" s="1"/>
  <c r="J8" i="33" a="1"/>
  <c r="J8" i="33" s="1"/>
  <c r="T8" i="33" a="1"/>
  <c r="T8" i="33" s="1"/>
  <c r="AD8" i="33" a="1"/>
  <c r="AD8" i="33" s="1"/>
  <c r="G9" i="33" a="1"/>
  <c r="G9" i="33" s="1"/>
  <c r="Q9" i="33" a="1"/>
  <c r="Q9" i="33" s="1"/>
  <c r="AA9" i="33" a="1"/>
  <c r="AA9" i="33" s="1"/>
  <c r="AL9" i="33" a="1"/>
  <c r="AL9" i="33" s="1"/>
  <c r="N10" i="33" a="1"/>
  <c r="N10" i="33" s="1"/>
  <c r="X10" i="33" a="1"/>
  <c r="X10" i="33" s="1"/>
  <c r="AH10" i="33" a="1"/>
  <c r="AH10" i="33" s="1"/>
  <c r="K11" i="33" a="1"/>
  <c r="K11" i="33" s="1"/>
  <c r="U11" i="33" a="1"/>
  <c r="U11" i="33" s="1"/>
  <c r="AE11" i="33" a="1"/>
  <c r="AE11" i="33" s="1"/>
  <c r="G12" i="33" a="1"/>
  <c r="G12" i="33" s="1"/>
  <c r="P12" i="33" a="1"/>
  <c r="P12" i="33" s="1"/>
  <c r="Z12" i="33" a="1"/>
  <c r="Z12" i="33" s="1"/>
  <c r="AJ12" i="33" a="1"/>
  <c r="AJ12" i="33" s="1"/>
  <c r="M13" i="33" a="1"/>
  <c r="M13" i="33" s="1"/>
  <c r="W13" i="33" a="1"/>
  <c r="W13" i="33" s="1"/>
  <c r="AF13" i="33" a="1"/>
  <c r="AF13" i="33" s="1"/>
  <c r="J2" i="33" a="1"/>
  <c r="J2" i="33" s="1"/>
  <c r="T2" i="33" a="1"/>
  <c r="T2" i="33" s="1"/>
  <c r="AD2" i="33" a="1"/>
  <c r="AD2" i="33" s="1"/>
  <c r="AL5" i="33" a="1"/>
  <c r="AL5" i="33" s="1"/>
  <c r="AL8" i="33" a="1"/>
  <c r="AL8" i="33" s="1"/>
  <c r="AL11" i="33" a="1"/>
  <c r="AL11" i="33" s="1"/>
  <c r="AI2" i="33" a="1"/>
  <c r="AI2" i="33" s="1"/>
  <c r="AK5" i="26" a="1"/>
  <c r="AK5" i="26" s="1"/>
  <c r="AK13" i="24" a="1"/>
  <c r="AK13" i="24" s="1"/>
  <c r="AK8" i="20" a="1"/>
  <c r="AK8" i="20" s="1"/>
  <c r="AK8" i="27" a="1"/>
  <c r="AK8" i="27" s="1"/>
  <c r="K3" i="27" a="1"/>
  <c r="K3" i="27" s="1"/>
  <c r="AB3" i="27" a="1"/>
  <c r="AB3" i="27" s="1"/>
  <c r="H4" i="27" a="1"/>
  <c r="H4" i="27" s="1"/>
  <c r="W4" i="27" a="1"/>
  <c r="W4" i="27" s="1"/>
  <c r="AJ4" i="27" a="1"/>
  <c r="AJ4" i="27" s="1"/>
  <c r="S5" i="27" a="1"/>
  <c r="S5" i="27" s="1"/>
  <c r="AF5" i="27" a="1"/>
  <c r="AF5" i="27" s="1"/>
  <c r="M6" i="27" a="1"/>
  <c r="M6" i="27" s="1"/>
  <c r="AB6" i="27" a="1"/>
  <c r="AB6" i="27" s="1"/>
  <c r="V7" i="27" a="1"/>
  <c r="V7" i="27" s="1"/>
  <c r="AI7" i="27" a="1"/>
  <c r="AI7" i="27" s="1"/>
  <c r="O8" i="27" a="1"/>
  <c r="O8" i="27" s="1"/>
  <c r="AC8" i="27" a="1"/>
  <c r="AC8" i="27" s="1"/>
  <c r="H9" i="27" a="1"/>
  <c r="H9" i="27" s="1"/>
  <c r="T9" i="27" a="1"/>
  <c r="T9" i="27" s="1"/>
  <c r="AF9" i="27" a="1"/>
  <c r="AF9" i="27" s="1"/>
  <c r="M10" i="27" a="1"/>
  <c r="M10" i="27" s="1"/>
  <c r="Y10" i="27" a="1"/>
  <c r="Y10" i="27" s="1"/>
  <c r="AL10" i="27" a="1"/>
  <c r="AL10" i="27" s="1"/>
  <c r="O11" i="27" a="1"/>
  <c r="O11" i="27" s="1"/>
  <c r="Z11" i="27" a="1"/>
  <c r="Z11" i="27" s="1"/>
  <c r="E12" i="27" a="1"/>
  <c r="E12" i="27" s="1"/>
  <c r="P12" i="27" a="1"/>
  <c r="P12" i="27" s="1"/>
  <c r="Z12" i="27" a="1"/>
  <c r="Z12" i="27" s="1"/>
  <c r="AL12" i="27" a="1"/>
  <c r="AL12" i="27" s="1"/>
  <c r="Y13" i="27" a="1"/>
  <c r="Y13" i="27" s="1"/>
  <c r="AI13" i="27" a="1"/>
  <c r="AI13" i="27" s="1"/>
  <c r="U14" i="27" a="1"/>
  <c r="U14" i="27" s="1"/>
  <c r="AE14" i="27" a="1"/>
  <c r="AE14" i="27" s="1"/>
  <c r="H15" i="27" a="1"/>
  <c r="H15" i="27" s="1"/>
  <c r="R15" i="27" a="1"/>
  <c r="R15" i="27" s="1"/>
  <c r="AB15" i="27" a="1"/>
  <c r="AB15" i="27" s="1"/>
  <c r="AL15" i="27" a="1"/>
  <c r="AL15" i="27" s="1"/>
  <c r="O2" i="27" a="1"/>
  <c r="O2" i="27" s="1"/>
  <c r="Y2" i="27" a="1"/>
  <c r="Y2" i="27" s="1"/>
  <c r="AI2" i="27" a="1"/>
  <c r="AI2" i="27" s="1"/>
  <c r="N6" i="33" a="1"/>
  <c r="N6" i="33" s="1"/>
  <c r="N9" i="33" a="1"/>
  <c r="N9" i="33" s="1"/>
  <c r="M12" i="33" a="1"/>
  <c r="M12" i="33" s="1"/>
  <c r="AL2" i="33" a="1"/>
  <c r="AL2" i="33" s="1"/>
  <c r="AK6" i="26" a="1"/>
  <c r="AK6" i="26" s="1"/>
  <c r="AK3" i="23" a="1"/>
  <c r="AK3" i="23" s="1"/>
  <c r="AK9" i="20" a="1"/>
  <c r="AK9" i="20" s="1"/>
  <c r="AK10" i="27" a="1"/>
  <c r="AK10" i="27" s="1"/>
  <c r="M3" i="27" a="1"/>
  <c r="M3" i="27" s="1"/>
  <c r="AC3" i="27" a="1"/>
  <c r="AC3" i="27" s="1"/>
  <c r="J4" i="27" a="1"/>
  <c r="J4" i="27" s="1"/>
  <c r="X4" i="27" a="1"/>
  <c r="X4" i="27" s="1"/>
  <c r="AL4" i="27" a="1"/>
  <c r="AL4" i="27" s="1"/>
  <c r="T5" i="27" a="1"/>
  <c r="T5" i="27" s="1"/>
  <c r="AG5" i="27" a="1"/>
  <c r="AG5" i="27" s="1"/>
  <c r="P6" i="27" a="1"/>
  <c r="P6" i="27" s="1"/>
  <c r="AC6" i="27" a="1"/>
  <c r="AC6" i="27" s="1"/>
  <c r="I7" i="27" a="1"/>
  <c r="I7" i="27" s="1"/>
  <c r="W7" i="27" a="1"/>
  <c r="W7" i="27" s="1"/>
  <c r="AJ7" i="27" a="1"/>
  <c r="AJ7" i="27" s="1"/>
  <c r="R8" i="27" a="1"/>
  <c r="R8" i="27" s="1"/>
  <c r="AD8" i="27" a="1"/>
  <c r="AD8" i="27" s="1"/>
  <c r="I9" i="27" a="1"/>
  <c r="I9" i="27" s="1"/>
  <c r="U9" i="27" a="1"/>
  <c r="U9" i="27" s="1"/>
  <c r="X6" i="33" a="1"/>
  <c r="X6" i="33" s="1"/>
  <c r="X9" i="33" a="1"/>
  <c r="X9" i="33" s="1"/>
  <c r="W12" i="33" a="1"/>
  <c r="W12" i="33" s="1"/>
  <c r="AK4" i="25" a="1"/>
  <c r="AK4" i="25" s="1"/>
  <c r="AK5" i="23" a="1"/>
  <c r="AK5" i="23" s="1"/>
  <c r="AK10" i="20" a="1"/>
  <c r="AK10" i="20" s="1"/>
  <c r="AK11" i="27" a="1"/>
  <c r="AK11" i="27" s="1"/>
  <c r="P3" i="27" a="1"/>
  <c r="P3" i="27" s="1"/>
  <c r="AD3" i="27" a="1"/>
  <c r="AD3" i="27" s="1"/>
  <c r="M4" i="27" a="1"/>
  <c r="M4" i="27" s="1"/>
  <c r="Y4" i="27" a="1"/>
  <c r="Y4" i="27" s="1"/>
  <c r="F5" i="27" a="1"/>
  <c r="F5" i="27" s="1"/>
  <c r="U5" i="27" a="1"/>
  <c r="U5" i="27" s="1"/>
  <c r="AH5" i="27" a="1"/>
  <c r="AH5" i="27" s="1"/>
  <c r="Q6" i="27" a="1"/>
  <c r="Q6" i="27" s="1"/>
  <c r="AD6" i="27" a="1"/>
  <c r="AD6" i="27" s="1"/>
  <c r="L7" i="27" a="1"/>
  <c r="L7" i="27" s="1"/>
  <c r="X7" i="27" a="1"/>
  <c r="X7" i="27" s="1"/>
  <c r="E8" i="27" a="1"/>
  <c r="E8" i="27" s="1"/>
  <c r="S8" i="27" a="1"/>
  <c r="S8" i="27" s="1"/>
  <c r="AE8" i="27" a="1"/>
  <c r="AE8" i="27" s="1"/>
  <c r="J9" i="27" a="1"/>
  <c r="J9" i="27" s="1"/>
  <c r="V9" i="27" a="1"/>
  <c r="V9" i="27" s="1"/>
  <c r="AJ9" i="27" a="1"/>
  <c r="AJ9" i="27" s="1"/>
  <c r="O10" i="27" a="1"/>
  <c r="O10" i="27" s="1"/>
  <c r="AA10" i="27" a="1"/>
  <c r="AA10" i="27" s="1"/>
  <c r="F11" i="27" a="1"/>
  <c r="F11" i="27" s="1"/>
  <c r="R11" i="27" a="1"/>
  <c r="R11" i="27" s="1"/>
  <c r="AC11" i="27" a="1"/>
  <c r="AC11" i="27" s="1"/>
  <c r="G12" i="27" a="1"/>
  <c r="G12" i="27" s="1"/>
  <c r="R12" i="27" a="1"/>
  <c r="R12" i="27" s="1"/>
  <c r="AB12" i="27" a="1"/>
  <c r="AB12" i="27" s="1"/>
  <c r="F13" i="27" a="1"/>
  <c r="F13" i="27" s="1"/>
  <c r="P13" i="27" a="1"/>
  <c r="P13" i="27" s="1"/>
  <c r="AA13" i="27" a="1"/>
  <c r="AA13" i="27" s="1"/>
  <c r="AL13" i="27" a="1"/>
  <c r="AL13" i="27" s="1"/>
  <c r="M14" i="27" a="1"/>
  <c r="M14" i="27" s="1"/>
  <c r="W14" i="27" a="1"/>
  <c r="W14" i="27" s="1"/>
  <c r="AG14" i="27" a="1"/>
  <c r="AG14" i="27" s="1"/>
  <c r="J15" i="27" a="1"/>
  <c r="J15" i="27" s="1"/>
  <c r="T15" i="27" a="1"/>
  <c r="T15" i="27" s="1"/>
  <c r="AD15" i="27" a="1"/>
  <c r="AD15" i="27" s="1"/>
  <c r="G2" i="27" a="1"/>
  <c r="G2" i="27" s="1"/>
  <c r="Q2" i="27" a="1"/>
  <c r="Q2" i="27" s="1"/>
  <c r="AA2" i="27" a="1"/>
  <c r="AA2" i="27" s="1"/>
  <c r="AL2" i="27" a="1"/>
  <c r="AL2" i="27" s="1"/>
  <c r="AH6" i="33" a="1"/>
  <c r="AH6" i="33" s="1"/>
  <c r="AH9" i="33" a="1"/>
  <c r="AH9" i="33" s="1"/>
  <c r="AG12" i="33" a="1"/>
  <c r="AG12" i="33" s="1"/>
  <c r="AK5" i="25" a="1"/>
  <c r="AK5" i="25" s="1"/>
  <c r="AK7" i="23" a="1"/>
  <c r="AK7" i="23" s="1"/>
  <c r="AK2" i="20" a="1"/>
  <c r="AK2" i="20" s="1"/>
  <c r="AK12" i="27" a="1"/>
  <c r="AK12" i="27" s="1"/>
  <c r="R3" i="27" a="1"/>
  <c r="R3" i="27" s="1"/>
  <c r="AE3" i="27" a="1"/>
  <c r="AE3" i="27" s="1"/>
  <c r="N4" i="27" a="1"/>
  <c r="N4" i="27" s="1"/>
  <c r="Z4" i="27" a="1"/>
  <c r="Z4" i="27" s="1"/>
  <c r="I5" i="27" a="1"/>
  <c r="I5" i="27" s="1"/>
  <c r="V5" i="27" a="1"/>
  <c r="V5" i="27" s="1"/>
  <c r="AJ5" i="27" a="1"/>
  <c r="AJ5" i="27" s="1"/>
  <c r="R6" i="27" a="1"/>
  <c r="R6" i="27" s="1"/>
  <c r="AE6" i="27" a="1"/>
  <c r="AE6" i="27" s="1"/>
  <c r="M7" i="27" a="1"/>
  <c r="M7" i="27" s="1"/>
  <c r="Y7" i="27" a="1"/>
  <c r="Y7" i="27" s="1"/>
  <c r="H8" i="27" a="1"/>
  <c r="H8" i="27" s="1"/>
  <c r="T8" i="27" a="1"/>
  <c r="T8" i="27" s="1"/>
  <c r="AF8" i="27" a="1"/>
  <c r="AF8" i="27" s="1"/>
  <c r="K9" i="27" a="1"/>
  <c r="K9" i="27" s="1"/>
  <c r="Y9" i="27" a="1"/>
  <c r="Y9" i="27" s="1"/>
  <c r="AL9" i="27" a="1"/>
  <c r="AL9" i="27" s="1"/>
  <c r="P10" i="27" a="1"/>
  <c r="P10" i="27" s="1"/>
  <c r="AB10" i="27" a="1"/>
  <c r="AB10" i="27" s="1"/>
  <c r="I11" i="27" a="1"/>
  <c r="I11" i="27" s="1"/>
  <c r="S11" i="27" a="1"/>
  <c r="S11" i="27" s="1"/>
  <c r="AD11" i="27" a="1"/>
  <c r="AD11" i="27" s="1"/>
  <c r="H12" i="27" a="1"/>
  <c r="H12" i="27" s="1"/>
  <c r="S12" i="27" a="1"/>
  <c r="S12" i="27" s="1"/>
  <c r="AC12" i="27" a="1"/>
  <c r="AC12" i="27" s="1"/>
  <c r="G13" i="27" a="1"/>
  <c r="G13" i="27" s="1"/>
  <c r="Q13" i="27" a="1"/>
  <c r="Q13" i="27" s="1"/>
  <c r="AB13" i="27" a="1"/>
  <c r="AB13" i="27" s="1"/>
  <c r="E14" i="27" a="1"/>
  <c r="E14" i="27" s="1"/>
  <c r="N14" i="27" a="1"/>
  <c r="N14" i="27" s="1"/>
  <c r="X14" i="27" a="1"/>
  <c r="X14" i="27" s="1"/>
  <c r="AH14" i="27" a="1"/>
  <c r="AH14" i="27" s="1"/>
  <c r="K15" i="27" a="1"/>
  <c r="K15" i="27" s="1"/>
  <c r="U15" i="27" a="1"/>
  <c r="U15" i="27" s="1"/>
  <c r="AE15" i="27" a="1"/>
  <c r="AE15" i="27" s="1"/>
  <c r="H2" i="27" a="1"/>
  <c r="H2" i="27" s="1"/>
  <c r="R2" i="27" a="1"/>
  <c r="R2" i="27" s="1"/>
  <c r="AB2" i="27" a="1"/>
  <c r="AB2" i="27" s="1"/>
  <c r="E2" i="27" a="1"/>
  <c r="E2" i="27" s="1"/>
  <c r="K7" i="33" a="1"/>
  <c r="K7" i="33" s="1"/>
  <c r="K10" i="33" a="1"/>
  <c r="K10" i="33" s="1"/>
  <c r="J13" i="33" a="1"/>
  <c r="J13" i="33" s="1"/>
  <c r="AK2" i="25" a="1"/>
  <c r="AK2" i="25" s="1"/>
  <c r="AK8" i="23" a="1"/>
  <c r="AK8" i="23" s="1"/>
  <c r="AK5" i="19" a="1"/>
  <c r="AK5" i="19" s="1"/>
  <c r="AK13" i="27" a="1"/>
  <c r="AK13" i="27" s="1"/>
  <c r="S3" i="27" a="1"/>
  <c r="S3" i="27" s="1"/>
  <c r="AG3" i="27" a="1"/>
  <c r="AG3" i="27" s="1"/>
  <c r="O4" i="27" a="1"/>
  <c r="O4" i="27" s="1"/>
  <c r="AA4" i="27" a="1"/>
  <c r="AA4" i="27" s="1"/>
  <c r="J5" i="27" a="1"/>
  <c r="J5" i="27" s="1"/>
  <c r="W5" i="27" a="1"/>
  <c r="W5" i="27" s="1"/>
  <c r="F6" i="27" a="1"/>
  <c r="F6" i="27" s="1"/>
  <c r="S6" i="27" a="1"/>
  <c r="S6" i="27" s="1"/>
  <c r="AG6" i="27" a="1"/>
  <c r="AG6" i="27" s="1"/>
  <c r="N7" i="27" a="1"/>
  <c r="N7" i="27" s="1"/>
  <c r="Z7" i="27" a="1"/>
  <c r="Z7" i="27" s="1"/>
  <c r="I8" i="27" a="1"/>
  <c r="I8" i="27" s="1"/>
  <c r="U8" i="27" a="1"/>
  <c r="U8" i="27" s="1"/>
  <c r="AG8" i="27" a="1"/>
  <c r="AG8" i="27" s="1"/>
  <c r="L9" i="27" a="1"/>
  <c r="L9" i="27" s="1"/>
  <c r="Z9" i="27" a="1"/>
  <c r="Z9" i="27" s="1"/>
  <c r="E10" i="27" a="1"/>
  <c r="E10" i="27" s="1"/>
  <c r="Q10" i="27" a="1"/>
  <c r="Q10" i="27" s="1"/>
  <c r="AC10" i="27" a="1"/>
  <c r="AC10" i="27" s="1"/>
  <c r="J11" i="27" a="1"/>
  <c r="J11" i="27" s="1"/>
  <c r="T11" i="27" a="1"/>
  <c r="T11" i="27" s="1"/>
  <c r="AE11" i="27" a="1"/>
  <c r="AE11" i="27" s="1"/>
  <c r="I12" i="27" a="1"/>
  <c r="I12" i="27" s="1"/>
  <c r="T12" i="27" a="1"/>
  <c r="T12" i="27" s="1"/>
  <c r="AD12" i="27" a="1"/>
  <c r="AD12" i="27" s="1"/>
  <c r="H13" i="27" a="1"/>
  <c r="H13" i="27" s="1"/>
  <c r="R13" i="27" a="1"/>
  <c r="R13" i="27" s="1"/>
  <c r="AC13" i="27" a="1"/>
  <c r="AC13" i="27" s="1"/>
  <c r="F14" i="27" a="1"/>
  <c r="F14" i="27" s="1"/>
  <c r="O14" i="27" a="1"/>
  <c r="O14" i="27" s="1"/>
  <c r="Y14" i="27" a="1"/>
  <c r="Y14" i="27" s="1"/>
  <c r="AI14" i="27" a="1"/>
  <c r="AI14" i="27" s="1"/>
  <c r="L15" i="27" a="1"/>
  <c r="L15" i="27" s="1"/>
  <c r="V15" i="27" a="1"/>
  <c r="V15" i="27" s="1"/>
  <c r="AF15" i="27" a="1"/>
  <c r="AF15" i="27" s="1"/>
  <c r="I2" i="27" a="1"/>
  <c r="I2" i="27" s="1"/>
  <c r="S2" i="27" a="1"/>
  <c r="S2" i="27" s="1"/>
  <c r="AC2" i="27" a="1"/>
  <c r="AC2" i="27" s="1"/>
  <c r="T4" i="33" a="1"/>
  <c r="T4" i="33" s="1"/>
  <c r="U7" i="33" a="1"/>
  <c r="U7" i="33" s="1"/>
  <c r="U10" i="33" a="1"/>
  <c r="U10" i="33" s="1"/>
  <c r="T13" i="33" a="1"/>
  <c r="T13" i="33" s="1"/>
  <c r="AK3" i="24" a="1"/>
  <c r="AK3" i="24" s="1"/>
  <c r="AK9" i="23" a="1"/>
  <c r="AK9" i="23" s="1"/>
  <c r="AK7" i="19" a="1"/>
  <c r="AK7" i="19" s="1"/>
  <c r="AK15" i="27" a="1"/>
  <c r="AK15" i="27" s="1"/>
  <c r="T3" i="27" a="1"/>
  <c r="T3" i="27" s="1"/>
  <c r="AJ3" i="27" a="1"/>
  <c r="AJ3" i="27" s="1"/>
  <c r="P4" i="27" a="1"/>
  <c r="P4" i="27" s="1"/>
  <c r="AC4" i="27" a="1"/>
  <c r="AC4" i="27" s="1"/>
  <c r="K5" i="27" a="1"/>
  <c r="K5" i="27" s="1"/>
  <c r="X5" i="27" a="1"/>
  <c r="X5" i="27" s="1"/>
  <c r="G6" i="27" a="1"/>
  <c r="G6" i="27" s="1"/>
  <c r="T6" i="27" a="1"/>
  <c r="T6" i="27" s="1"/>
  <c r="AJ6" i="27" a="1"/>
  <c r="AJ6" i="27" s="1"/>
  <c r="O7" i="27" a="1"/>
  <c r="O7" i="27" s="1"/>
  <c r="AB7" i="27" a="1"/>
  <c r="AB7" i="27" s="1"/>
  <c r="J8" i="27" a="1"/>
  <c r="J8" i="27" s="1"/>
  <c r="V8" i="27" a="1"/>
  <c r="V8" i="27" s="1"/>
  <c r="AH8" i="27" a="1"/>
  <c r="AH8" i="27" s="1"/>
  <c r="O9" i="27" a="1"/>
  <c r="O9" i="27" s="1"/>
  <c r="AA9" i="27" a="1"/>
  <c r="AA9" i="27" s="1"/>
  <c r="F10" i="27" a="1"/>
  <c r="F10" i="27" s="1"/>
  <c r="R10" i="27" a="1"/>
  <c r="R10" i="27" s="1"/>
  <c r="AF10" i="27" a="1"/>
  <c r="AF10" i="27" s="1"/>
  <c r="U11" i="27" a="1"/>
  <c r="U11" i="27" s="1"/>
  <c r="AF11" i="27" a="1"/>
  <c r="AF11" i="27" s="1"/>
  <c r="J12" i="27" a="1"/>
  <c r="J12" i="27" s="1"/>
  <c r="U12" i="27" a="1"/>
  <c r="U12" i="27" s="1"/>
  <c r="AE12" i="27" a="1"/>
  <c r="AE12" i="27" s="1"/>
  <c r="I13" i="27" a="1"/>
  <c r="I13" i="27" s="1"/>
  <c r="T13" i="27" a="1"/>
  <c r="T13" i="27" s="1"/>
  <c r="AD13" i="27" a="1"/>
  <c r="AD13" i="27" s="1"/>
  <c r="G14" i="27" a="1"/>
  <c r="G14" i="27" s="1"/>
  <c r="P14" i="27" a="1"/>
  <c r="P14" i="27" s="1"/>
  <c r="Z14" i="27" a="1"/>
  <c r="Z14" i="27" s="1"/>
  <c r="AJ14" i="27" a="1"/>
  <c r="AJ14" i="27" s="1"/>
  <c r="M15" i="27" a="1"/>
  <c r="M15" i="27" s="1"/>
  <c r="W15" i="27" a="1"/>
  <c r="W15" i="27" s="1"/>
  <c r="AG15" i="27" a="1"/>
  <c r="AG15" i="27" s="1"/>
  <c r="J2" i="27" a="1"/>
  <c r="J2" i="27" s="1"/>
  <c r="T2" i="27" a="1"/>
  <c r="T2" i="27" s="1"/>
  <c r="AD2" i="27" a="1"/>
  <c r="AD2" i="27" s="1"/>
  <c r="AD4" i="33" a="1"/>
  <c r="AD4" i="33" s="1"/>
  <c r="AE7" i="33" a="1"/>
  <c r="AE7" i="33" s="1"/>
  <c r="AE10" i="33" a="1"/>
  <c r="AE10" i="33" s="1"/>
  <c r="AK5" i="24" a="1"/>
  <c r="AK5" i="24" s="1"/>
  <c r="AK10" i="23" a="1"/>
  <c r="AK10" i="23" s="1"/>
  <c r="AK2" i="19" a="1"/>
  <c r="AK2" i="19" s="1"/>
  <c r="F3" i="27" a="1"/>
  <c r="F3" i="27" s="1"/>
  <c r="U3" i="27" a="1"/>
  <c r="U3" i="27" s="1"/>
  <c r="AL3" i="27" a="1"/>
  <c r="AL3" i="27" s="1"/>
  <c r="Q4" i="27" a="1"/>
  <c r="Q4" i="27" s="1"/>
  <c r="AF4" i="27" a="1"/>
  <c r="AF4" i="27" s="1"/>
  <c r="L5" i="27" a="1"/>
  <c r="L5" i="27" s="1"/>
  <c r="Z5" i="27" a="1"/>
  <c r="Z5" i="27" s="1"/>
  <c r="H6" i="27" a="1"/>
  <c r="H6" i="27" s="1"/>
  <c r="U6" i="27" a="1"/>
  <c r="U6" i="27" s="1"/>
  <c r="AL6" i="27" a="1"/>
  <c r="AL6" i="27" s="1"/>
  <c r="P7" i="27" a="1"/>
  <c r="P7" i="27" s="1"/>
  <c r="AE7" i="27" a="1"/>
  <c r="AE7" i="27" s="1"/>
  <c r="K8" i="27" a="1"/>
  <c r="K8" i="27" s="1"/>
  <c r="W8" i="27" a="1"/>
  <c r="W8" i="27" s="1"/>
  <c r="AI8" i="27" a="1"/>
  <c r="AI8" i="27" s="1"/>
  <c r="P9" i="27" a="1"/>
  <c r="P9" i="27" s="1"/>
  <c r="AB9" i="27" a="1"/>
  <c r="AB9" i="27" s="1"/>
  <c r="G10" i="27" a="1"/>
  <c r="G10" i="27" s="1"/>
  <c r="S10" i="27" a="1"/>
  <c r="S10" i="27" s="1"/>
  <c r="AG10" i="27" a="1"/>
  <c r="AG10" i="27" s="1"/>
  <c r="K11" i="27" a="1"/>
  <c r="K11" i="27" s="1"/>
  <c r="V11" i="27" a="1"/>
  <c r="V11" i="27" s="1"/>
  <c r="AG11" i="27" a="1"/>
  <c r="AG11" i="27" s="1"/>
  <c r="K12" i="27" a="1"/>
  <c r="K12" i="27" s="1"/>
  <c r="V12" i="27" a="1"/>
  <c r="V12" i="27" s="1"/>
  <c r="AF12" i="27" a="1"/>
  <c r="AF12" i="27" s="1"/>
  <c r="K13" i="27" a="1"/>
  <c r="K13" i="27" s="1"/>
  <c r="U13" i="27" a="1"/>
  <c r="U13" i="27" s="1"/>
  <c r="AE13" i="27" a="1"/>
  <c r="AE13" i="27" s="1"/>
  <c r="H14" i="27" a="1"/>
  <c r="H14" i="27" s="1"/>
  <c r="Q14" i="27" a="1"/>
  <c r="Q14" i="27" s="1"/>
  <c r="AA14" i="27" a="1"/>
  <c r="AA14" i="27" s="1"/>
  <c r="AL14" i="27" a="1"/>
  <c r="AL14" i="27" s="1"/>
  <c r="N15" i="27" a="1"/>
  <c r="N15" i="27" s="1"/>
  <c r="X15" i="27" a="1"/>
  <c r="X15" i="27" s="1"/>
  <c r="AH15" i="27" a="1"/>
  <c r="AH15" i="27" s="1"/>
  <c r="K2" i="27" a="1"/>
  <c r="K2" i="27" s="1"/>
  <c r="U2" i="27" a="1"/>
  <c r="U2" i="27" s="1"/>
  <c r="AE2" i="27" a="1"/>
  <c r="AE2" i="27" s="1"/>
  <c r="G5" i="33" a="1"/>
  <c r="G5" i="33" s="1"/>
  <c r="H8" i="33" a="1"/>
  <c r="H8" i="33" s="1"/>
  <c r="H11" i="33" a="1"/>
  <c r="H11" i="33" s="1"/>
  <c r="G2" i="33" a="1"/>
  <c r="G2" i="33" s="1"/>
  <c r="AK4" i="26" a="1"/>
  <c r="AK4" i="26" s="1"/>
  <c r="AK10" i="24" a="1"/>
  <c r="AK10" i="24" s="1"/>
  <c r="AK2" i="23" a="1"/>
  <c r="AK2" i="23" s="1"/>
  <c r="AK3" i="27" a="1"/>
  <c r="AK3" i="27" s="1"/>
  <c r="H3" i="27" a="1"/>
  <c r="H3" i="27" s="1"/>
  <c r="W3" i="27" a="1"/>
  <c r="W3" i="27" s="1"/>
  <c r="E4" i="27" a="1"/>
  <c r="E4" i="27" s="1"/>
  <c r="R4" i="27" a="1"/>
  <c r="R4" i="27" s="1"/>
  <c r="AG4" i="27" a="1"/>
  <c r="AG4" i="27" s="1"/>
  <c r="M5" i="27" a="1"/>
  <c r="M5" i="27" s="1"/>
  <c r="AC5" i="27" a="1"/>
  <c r="AC5" i="27" s="1"/>
  <c r="I6" i="27" a="1"/>
  <c r="I6" i="27" s="1"/>
  <c r="W6" i="27" a="1"/>
  <c r="W6" i="27" s="1"/>
  <c r="E7" i="27" a="1"/>
  <c r="E7" i="27" s="1"/>
  <c r="Q7" i="27" a="1"/>
  <c r="Q7" i="27" s="1"/>
  <c r="AF7" i="27" a="1"/>
  <c r="AF7" i="27" s="1"/>
  <c r="L8" i="27" a="1"/>
  <c r="L8" i="27" s="1"/>
  <c r="X8" i="27" a="1"/>
  <c r="X8" i="27" s="1"/>
  <c r="E9" i="27" a="1"/>
  <c r="E9" i="27" s="1"/>
  <c r="Q9" i="27" a="1"/>
  <c r="Q9" i="27" s="1"/>
  <c r="AC9" i="27" a="1"/>
  <c r="AC9" i="27" s="1"/>
  <c r="H10" i="27" a="1"/>
  <c r="H10" i="27" s="1"/>
  <c r="V10" i="27" a="1"/>
  <c r="V10" i="27" s="1"/>
  <c r="AH10" i="27" a="1"/>
  <c r="AH10" i="27" s="1"/>
  <c r="L11" i="27" a="1"/>
  <c r="L11" i="27" s="1"/>
  <c r="W11" i="27" a="1"/>
  <c r="W11" i="27" s="1"/>
  <c r="AH11" i="27" a="1"/>
  <c r="AH11" i="27" s="1"/>
  <c r="L12" i="27" a="1"/>
  <c r="L12" i="27" s="1"/>
  <c r="AH12" i="27" a="1"/>
  <c r="AH12" i="27" s="1"/>
  <c r="L13" i="27" a="1"/>
  <c r="L13" i="27" s="1"/>
  <c r="V13" i="27" a="1"/>
  <c r="V13" i="27" s="1"/>
  <c r="AF13" i="27" a="1"/>
  <c r="AF13" i="27" s="1"/>
  <c r="I14" i="27" a="1"/>
  <c r="I14" i="27" s="1"/>
  <c r="R14" i="27" a="1"/>
  <c r="R14" i="27" s="1"/>
  <c r="AB14" i="27" a="1"/>
  <c r="AB14" i="27" s="1"/>
  <c r="E15" i="27" a="1"/>
  <c r="E15" i="27" s="1"/>
  <c r="O15" i="27" a="1"/>
  <c r="O15" i="27" s="1"/>
  <c r="Y15" i="27" a="1"/>
  <c r="Y15" i="27" s="1"/>
  <c r="AI15" i="27" a="1"/>
  <c r="AI15" i="27" s="1"/>
  <c r="L2" i="27" a="1"/>
  <c r="L2" i="27" s="1"/>
  <c r="V2" i="27" a="1"/>
  <c r="V2" i="27" s="1"/>
  <c r="AF2" i="27" a="1"/>
  <c r="AF2" i="27" s="1"/>
  <c r="Q5" i="33" a="1"/>
  <c r="Q5" i="33" s="1"/>
  <c r="Q8" i="33" a="1"/>
  <c r="Q8" i="33" s="1"/>
  <c r="R11" i="33" a="1"/>
  <c r="R11" i="33" s="1"/>
  <c r="Q2" i="33" a="1"/>
  <c r="Q2" i="33" s="1"/>
  <c r="AJ5" i="26" a="1"/>
  <c r="AJ5" i="26" s="1"/>
  <c r="AK11" i="24" a="1"/>
  <c r="AK11" i="24" s="1"/>
  <c r="AK5" i="20" a="1"/>
  <c r="AK5" i="20" s="1"/>
  <c r="AK4" i="27" a="1"/>
  <c r="AK4" i="27" s="1"/>
  <c r="I3" i="27" a="1"/>
  <c r="I3" i="27" s="1"/>
  <c r="Z3" i="27" a="1"/>
  <c r="Z3" i="27" s="1"/>
  <c r="F4" i="27" a="1"/>
  <c r="F4" i="27" s="1"/>
  <c r="T4" i="27" a="1"/>
  <c r="T4" i="27" s="1"/>
  <c r="AH4" i="27" a="1"/>
  <c r="AH4" i="27" s="1"/>
  <c r="N5" i="27" a="1"/>
  <c r="N5" i="27" s="1"/>
  <c r="AD5" i="27" a="1"/>
  <c r="AD5" i="27" s="1"/>
  <c r="J6" i="27" a="1"/>
  <c r="J6" i="27" s="1"/>
  <c r="Z6" i="27" a="1"/>
  <c r="Z6" i="27" s="1"/>
  <c r="F7" i="27" a="1"/>
  <c r="F7" i="27" s="1"/>
  <c r="R7" i="27" a="1"/>
  <c r="R7" i="27" s="1"/>
  <c r="AG7" i="27" a="1"/>
  <c r="AG7" i="27" s="1"/>
  <c r="M8" i="27" a="1"/>
  <c r="M8" i="27" s="1"/>
  <c r="Y8" i="27" a="1"/>
  <c r="Y8" i="27" s="1"/>
  <c r="F9" i="27" a="1"/>
  <c r="F9" i="27" s="1"/>
  <c r="R9" i="27" a="1"/>
  <c r="R9" i="27" s="1"/>
  <c r="AD9" i="27" a="1"/>
  <c r="AD9" i="27" s="1"/>
  <c r="I10" i="27" a="1"/>
  <c r="I10" i="27" s="1"/>
  <c r="W10" i="27" a="1"/>
  <c r="W10" i="27" s="1"/>
  <c r="AI10" i="27" a="1"/>
  <c r="AI10" i="27" s="1"/>
  <c r="M11" i="27" a="1"/>
  <c r="M11" i="27" s="1"/>
  <c r="X11" i="27" a="1"/>
  <c r="X11" i="27" s="1"/>
  <c r="AI11" i="27" a="1"/>
  <c r="AI11" i="27" s="1"/>
  <c r="M12" i="27" a="1"/>
  <c r="M12" i="27" s="1"/>
  <c r="X12" i="27" a="1"/>
  <c r="X12" i="27" s="1"/>
  <c r="AI12" i="27" a="1"/>
  <c r="AI12" i="27" s="1"/>
  <c r="M13" i="27" a="1"/>
  <c r="M13" i="27" s="1"/>
  <c r="W13" i="27" a="1"/>
  <c r="W13" i="27" s="1"/>
  <c r="AG13" i="27" a="1"/>
  <c r="AG13" i="27" s="1"/>
  <c r="J14" i="27" a="1"/>
  <c r="J14" i="27" s="1"/>
  <c r="S14" i="27" a="1"/>
  <c r="S14" i="27" s="1"/>
  <c r="AC14" i="27" a="1"/>
  <c r="AC14" i="27" s="1"/>
  <c r="F15" i="27" a="1"/>
  <c r="F15" i="27" s="1"/>
  <c r="P15" i="27" a="1"/>
  <c r="P15" i="27" s="1"/>
  <c r="Z15" i="27" a="1"/>
  <c r="Z15" i="27" s="1"/>
  <c r="M2" i="27" a="1"/>
  <c r="M2" i="27" s="1"/>
  <c r="W2" i="27" a="1"/>
  <c r="W2" i="27" s="1"/>
  <c r="AG2" i="27" a="1"/>
  <c r="AG2" i="27" s="1"/>
  <c r="AA5" i="33" a="1"/>
  <c r="AA5" i="33" s="1"/>
  <c r="AA8" i="33" a="1"/>
  <c r="AA8" i="33" s="1"/>
  <c r="AB11" i="33" a="1"/>
  <c r="AB11" i="33" s="1"/>
  <c r="AA2" i="33" a="1"/>
  <c r="AA2" i="33" s="1"/>
  <c r="AK12" i="24" a="1"/>
  <c r="AK12" i="24" s="1"/>
  <c r="AK7" i="20" a="1"/>
  <c r="AK7" i="20" s="1"/>
  <c r="AK6" i="27" a="1"/>
  <c r="AK6" i="27" s="1"/>
  <c r="J3" i="27" a="1"/>
  <c r="J3" i="27" s="1"/>
  <c r="AA3" i="27" a="1"/>
  <c r="AA3" i="27" s="1"/>
  <c r="G4" i="27" a="1"/>
  <c r="G4" i="27" s="1"/>
  <c r="V4" i="27" a="1"/>
  <c r="V4" i="27" s="1"/>
  <c r="AI4" i="27" a="1"/>
  <c r="AI4" i="27" s="1"/>
  <c r="P5" i="27" a="1"/>
  <c r="P5" i="27" s="1"/>
  <c r="AE5" i="27" a="1"/>
  <c r="AE5" i="27" s="1"/>
  <c r="K6" i="27" a="1"/>
  <c r="K6" i="27" s="1"/>
  <c r="AA6" i="27" a="1"/>
  <c r="AA6" i="27" s="1"/>
  <c r="G7" i="27" a="1"/>
  <c r="G7" i="27" s="1"/>
  <c r="U7" i="27" a="1"/>
  <c r="U7" i="27" s="1"/>
  <c r="AH7" i="27" a="1"/>
  <c r="AH7" i="27" s="1"/>
  <c r="N8" i="27" a="1"/>
  <c r="N8" i="27" s="1"/>
  <c r="AB8" i="27" a="1"/>
  <c r="AB8" i="27" s="1"/>
  <c r="G9" i="27" a="1"/>
  <c r="G9" i="27" s="1"/>
  <c r="S9" i="27" a="1"/>
  <c r="S9" i="27" s="1"/>
  <c r="AE9" i="27" a="1"/>
  <c r="AE9" i="27" s="1"/>
  <c r="L10" i="27" a="1"/>
  <c r="L10" i="27" s="1"/>
  <c r="X10" i="27" a="1"/>
  <c r="X10" i="27" s="1"/>
  <c r="AJ10" i="27" a="1"/>
  <c r="AJ10" i="27" s="1"/>
  <c r="N11" i="27" a="1"/>
  <c r="N11" i="27" s="1"/>
  <c r="Y11" i="27" a="1"/>
  <c r="Y11" i="27" s="1"/>
  <c r="AJ11" i="27" a="1"/>
  <c r="AJ11" i="27" s="1"/>
  <c r="O12" i="27" a="1"/>
  <c r="O12" i="27" s="1"/>
  <c r="Y12" i="27" a="1"/>
  <c r="Y12" i="27" s="1"/>
  <c r="AJ12" i="27" a="1"/>
  <c r="AJ12" i="27" s="1"/>
  <c r="N13" i="27" a="1"/>
  <c r="N13" i="27" s="1"/>
  <c r="X13" i="27" a="1"/>
  <c r="X13" i="27" s="1"/>
  <c r="N10" i="27" a="1"/>
  <c r="N10" i="27" s="1"/>
  <c r="Z13" i="27" a="1"/>
  <c r="Z13" i="27" s="1"/>
  <c r="I15" i="27" a="1"/>
  <c r="I15" i="27" s="1"/>
  <c r="Z2" i="27" a="1"/>
  <c r="Z2" i="27" s="1"/>
  <c r="E2" i="20" a="1"/>
  <c r="E2" i="20" s="1"/>
  <c r="AL7" i="28" a="1"/>
  <c r="AL7" i="28" s="1"/>
  <c r="AK10" i="30" a="1"/>
  <c r="AK10" i="30" s="1"/>
  <c r="N3" i="30" a="1"/>
  <c r="N3" i="30" s="1"/>
  <c r="X3" i="30" a="1"/>
  <c r="X3" i="30" s="1"/>
  <c r="AH3" i="30" a="1"/>
  <c r="AH3" i="30" s="1"/>
  <c r="K4" i="30" a="1"/>
  <c r="K4" i="30" s="1"/>
  <c r="U4" i="30" a="1"/>
  <c r="U4" i="30" s="1"/>
  <c r="AE4" i="30" a="1"/>
  <c r="AE4" i="30" s="1"/>
  <c r="H5" i="30" a="1"/>
  <c r="H5" i="30" s="1"/>
  <c r="R5" i="30" a="1"/>
  <c r="R5" i="30" s="1"/>
  <c r="AB5" i="30" a="1"/>
  <c r="AB5" i="30" s="1"/>
  <c r="E6" i="30" a="1"/>
  <c r="E6" i="30" s="1"/>
  <c r="O6" i="30" a="1"/>
  <c r="O6" i="30" s="1"/>
  <c r="Y6" i="30" a="1"/>
  <c r="Y6" i="30" s="1"/>
  <c r="AI6" i="30" a="1"/>
  <c r="AI6" i="30" s="1"/>
  <c r="L7" i="30" a="1"/>
  <c r="L7" i="30" s="1"/>
  <c r="V7" i="30" a="1"/>
  <c r="V7" i="30" s="1"/>
  <c r="AF7" i="30" a="1"/>
  <c r="AF7" i="30" s="1"/>
  <c r="I8" i="30" a="1"/>
  <c r="I8" i="30" s="1"/>
  <c r="S8" i="30" a="1"/>
  <c r="S8" i="30" s="1"/>
  <c r="AC8" i="30" a="1"/>
  <c r="AC8" i="30" s="1"/>
  <c r="F9" i="30" a="1"/>
  <c r="F9" i="30" s="1"/>
  <c r="P9" i="30" a="1"/>
  <c r="P9" i="30" s="1"/>
  <c r="Z9" i="30" a="1"/>
  <c r="Z9" i="30" s="1"/>
  <c r="AJ9" i="30" a="1"/>
  <c r="AJ9" i="30" s="1"/>
  <c r="M10" i="30" a="1"/>
  <c r="M10" i="30" s="1"/>
  <c r="W10" i="30" a="1"/>
  <c r="W10" i="30" s="1"/>
  <c r="AG10" i="30" a="1"/>
  <c r="AG10" i="30" s="1"/>
  <c r="J11" i="30" a="1"/>
  <c r="J11" i="30" s="1"/>
  <c r="T11" i="30" a="1"/>
  <c r="T11" i="30" s="1"/>
  <c r="AD11" i="30" a="1"/>
  <c r="AD11" i="30" s="1"/>
  <c r="G12" i="30" a="1"/>
  <c r="G12" i="30" s="1"/>
  <c r="Q12" i="30" a="1"/>
  <c r="Q12" i="30" s="1"/>
  <c r="AA12" i="30" a="1"/>
  <c r="AA12" i="30" s="1"/>
  <c r="AL12" i="30" a="1"/>
  <c r="AL12" i="30" s="1"/>
  <c r="N13" i="30" a="1"/>
  <c r="N13" i="30" s="1"/>
  <c r="X13" i="30" a="1"/>
  <c r="X13" i="30" s="1"/>
  <c r="AH13" i="30" a="1"/>
  <c r="AH13" i="30" s="1"/>
  <c r="Z10" i="27" a="1"/>
  <c r="Z10" i="27" s="1"/>
  <c r="AH13" i="27" a="1"/>
  <c r="AH13" i="27" s="1"/>
  <c r="Q15" i="27" a="1"/>
  <c r="Q15" i="27" s="1"/>
  <c r="AH2" i="27" a="1"/>
  <c r="AH2" i="27" s="1"/>
  <c r="AL2" i="28" a="1"/>
  <c r="AL2" i="28" s="1"/>
  <c r="AK11" i="30" a="1"/>
  <c r="AK11" i="30" s="1"/>
  <c r="E3" i="30" a="1"/>
  <c r="E3" i="30" s="1"/>
  <c r="O3" i="30" a="1"/>
  <c r="O3" i="30" s="1"/>
  <c r="Y3" i="30" a="1"/>
  <c r="Y3" i="30" s="1"/>
  <c r="AI3" i="30" a="1"/>
  <c r="AI3" i="30" s="1"/>
  <c r="L4" i="30" a="1"/>
  <c r="L4" i="30" s="1"/>
  <c r="V4" i="30" a="1"/>
  <c r="V4" i="30" s="1"/>
  <c r="AF4" i="30" a="1"/>
  <c r="AF4" i="30" s="1"/>
  <c r="I5" i="30" a="1"/>
  <c r="I5" i="30" s="1"/>
  <c r="S5" i="30" a="1"/>
  <c r="S5" i="30" s="1"/>
  <c r="AC5" i="30" a="1"/>
  <c r="AC5" i="30" s="1"/>
  <c r="F6" i="30" a="1"/>
  <c r="F6" i="30" s="1"/>
  <c r="P6" i="30" a="1"/>
  <c r="P6" i="30" s="1"/>
  <c r="Z6" i="30" a="1"/>
  <c r="Z6" i="30" s="1"/>
  <c r="AJ6" i="30" a="1"/>
  <c r="AJ6" i="30" s="1"/>
  <c r="M7" i="30" a="1"/>
  <c r="M7" i="30" s="1"/>
  <c r="W7" i="30" a="1"/>
  <c r="W7" i="30" s="1"/>
  <c r="AG7" i="30" a="1"/>
  <c r="AG7" i="30" s="1"/>
  <c r="J8" i="30" a="1"/>
  <c r="J8" i="30" s="1"/>
  <c r="T8" i="30" a="1"/>
  <c r="T8" i="30" s="1"/>
  <c r="AD8" i="30" a="1"/>
  <c r="AD8" i="30" s="1"/>
  <c r="G9" i="30" a="1"/>
  <c r="G9" i="30" s="1"/>
  <c r="Q9" i="30" a="1"/>
  <c r="Q9" i="30" s="1"/>
  <c r="AA9" i="30" a="1"/>
  <c r="AA9" i="30" s="1"/>
  <c r="AL9" i="30" a="1"/>
  <c r="AL9" i="30" s="1"/>
  <c r="N10" i="30" a="1"/>
  <c r="N10" i="30" s="1"/>
  <c r="X10" i="30" a="1"/>
  <c r="X10" i="30" s="1"/>
  <c r="AH10" i="30" a="1"/>
  <c r="AH10" i="30" s="1"/>
  <c r="K11" i="30" a="1"/>
  <c r="K11" i="30" s="1"/>
  <c r="U11" i="30" a="1"/>
  <c r="U11" i="30" s="1"/>
  <c r="AE11" i="30" a="1"/>
  <c r="AE11" i="30" s="1"/>
  <c r="H12" i="30" a="1"/>
  <c r="H12" i="30" s="1"/>
  <c r="R12" i="30" a="1"/>
  <c r="R12" i="30" s="1"/>
  <c r="AB12" i="30" a="1"/>
  <c r="AB12" i="30" s="1"/>
  <c r="E13" i="30" a="1"/>
  <c r="E13" i="30" s="1"/>
  <c r="O13" i="30" a="1"/>
  <c r="O13" i="30" s="1"/>
  <c r="Y13" i="30" a="1"/>
  <c r="Y13" i="30" s="1"/>
  <c r="AI13" i="30" a="1"/>
  <c r="AI13" i="30" s="1"/>
  <c r="M2" i="30" a="1"/>
  <c r="M2" i="30" s="1"/>
  <c r="W2" i="30" a="1"/>
  <c r="W2" i="30" s="1"/>
  <c r="AG2" i="30" a="1"/>
  <c r="AG2" i="30" s="1"/>
  <c r="E11" i="27" a="1"/>
  <c r="E11" i="27" s="1"/>
  <c r="AJ13" i="27" a="1"/>
  <c r="AJ13" i="27" s="1"/>
  <c r="S15" i="27" a="1"/>
  <c r="S15" i="27" s="1"/>
  <c r="AJ2" i="27" a="1"/>
  <c r="AJ2" i="27" s="1"/>
  <c r="AM2" i="28" a="1"/>
  <c r="AM2" i="28" s="1"/>
  <c r="AK12" i="30" a="1"/>
  <c r="AK12" i="30" s="1"/>
  <c r="F3" i="30" a="1"/>
  <c r="F3" i="30" s="1"/>
  <c r="P3" i="30" a="1"/>
  <c r="P3" i="30" s="1"/>
  <c r="Z3" i="30" a="1"/>
  <c r="Z3" i="30" s="1"/>
  <c r="AJ3" i="30" a="1"/>
  <c r="AJ3" i="30" s="1"/>
  <c r="M4" i="30" a="1"/>
  <c r="M4" i="30" s="1"/>
  <c r="W4" i="30" a="1"/>
  <c r="W4" i="30" s="1"/>
  <c r="AG4" i="30" a="1"/>
  <c r="AG4" i="30" s="1"/>
  <c r="J5" i="30" a="1"/>
  <c r="J5" i="30" s="1"/>
  <c r="T5" i="30" a="1"/>
  <c r="T5" i="30" s="1"/>
  <c r="AD5" i="30" a="1"/>
  <c r="AD5" i="30" s="1"/>
  <c r="G6" i="30" a="1"/>
  <c r="G6" i="30" s="1"/>
  <c r="Q6" i="30" a="1"/>
  <c r="Q6" i="30" s="1"/>
  <c r="AA6" i="30" a="1"/>
  <c r="AA6" i="30" s="1"/>
  <c r="AL6" i="30" a="1"/>
  <c r="AL6" i="30" s="1"/>
  <c r="N7" i="30" a="1"/>
  <c r="N7" i="30" s="1"/>
  <c r="X7" i="30" a="1"/>
  <c r="X7" i="30" s="1"/>
  <c r="AH7" i="30" a="1"/>
  <c r="AH7" i="30" s="1"/>
  <c r="K8" i="30" a="1"/>
  <c r="K8" i="30" s="1"/>
  <c r="U8" i="30" a="1"/>
  <c r="U8" i="30" s="1"/>
  <c r="AE8" i="30" a="1"/>
  <c r="AE8" i="30" s="1"/>
  <c r="H9" i="30" a="1"/>
  <c r="H9" i="30" s="1"/>
  <c r="R9" i="30" a="1"/>
  <c r="R9" i="30" s="1"/>
  <c r="AB9" i="30" a="1"/>
  <c r="AB9" i="30" s="1"/>
  <c r="E10" i="30" a="1"/>
  <c r="E10" i="30" s="1"/>
  <c r="O10" i="30" a="1"/>
  <c r="O10" i="30" s="1"/>
  <c r="Y10" i="30" a="1"/>
  <c r="Y10" i="30" s="1"/>
  <c r="AI10" i="30" a="1"/>
  <c r="AI10" i="30" s="1"/>
  <c r="L11" i="30" a="1"/>
  <c r="L11" i="30" s="1"/>
  <c r="V11" i="30" a="1"/>
  <c r="V11" i="30" s="1"/>
  <c r="AF11" i="30" a="1"/>
  <c r="AF11" i="30" s="1"/>
  <c r="I12" i="30" a="1"/>
  <c r="I12" i="30" s="1"/>
  <c r="S12" i="30" a="1"/>
  <c r="S12" i="30" s="1"/>
  <c r="AC12" i="30" a="1"/>
  <c r="AC12" i="30" s="1"/>
  <c r="F13" i="30" a="1"/>
  <c r="F13" i="30" s="1"/>
  <c r="P13" i="30" a="1"/>
  <c r="P13" i="30" s="1"/>
  <c r="Z13" i="30" a="1"/>
  <c r="Z13" i="30" s="1"/>
  <c r="AJ13" i="30" a="1"/>
  <c r="AJ13" i="30" s="1"/>
  <c r="N2" i="30" a="1"/>
  <c r="N2" i="30" s="1"/>
  <c r="X2" i="30" a="1"/>
  <c r="X2" i="30" s="1"/>
  <c r="P11" i="27" a="1"/>
  <c r="P11" i="27" s="1"/>
  <c r="K14" i="27" a="1"/>
  <c r="K14" i="27" s="1"/>
  <c r="AA15" i="27" a="1"/>
  <c r="AA15" i="27" s="1"/>
  <c r="AK3" i="30" a="1"/>
  <c r="AK3" i="30" s="1"/>
  <c r="AK13" i="30" a="1"/>
  <c r="AK13" i="30" s="1"/>
  <c r="G3" i="30" a="1"/>
  <c r="G3" i="30" s="1"/>
  <c r="Q3" i="30" a="1"/>
  <c r="Q3" i="30" s="1"/>
  <c r="AA3" i="30" a="1"/>
  <c r="AA3" i="30" s="1"/>
  <c r="AL3" i="30" a="1"/>
  <c r="AL3" i="30" s="1"/>
  <c r="N4" i="30" a="1"/>
  <c r="N4" i="30" s="1"/>
  <c r="X4" i="30" a="1"/>
  <c r="X4" i="30" s="1"/>
  <c r="AH4" i="30" a="1"/>
  <c r="AH4" i="30" s="1"/>
  <c r="K5" i="30" a="1"/>
  <c r="K5" i="30" s="1"/>
  <c r="U5" i="30" a="1"/>
  <c r="U5" i="30" s="1"/>
  <c r="AE5" i="30" a="1"/>
  <c r="AE5" i="30" s="1"/>
  <c r="AB11" i="27" a="1"/>
  <c r="AB11" i="27" s="1"/>
  <c r="L14" i="27" a="1"/>
  <c r="L14" i="27" s="1"/>
  <c r="AC15" i="27" a="1"/>
  <c r="AC15" i="27" s="1"/>
  <c r="AK4" i="30" a="1"/>
  <c r="AK4" i="30" s="1"/>
  <c r="AK2" i="30" a="1"/>
  <c r="AK2" i="30" s="1"/>
  <c r="H3" i="30" a="1"/>
  <c r="H3" i="30" s="1"/>
  <c r="R3" i="30" a="1"/>
  <c r="R3" i="30" s="1"/>
  <c r="AB3" i="30" a="1"/>
  <c r="AB3" i="30" s="1"/>
  <c r="E4" i="30" a="1"/>
  <c r="E4" i="30" s="1"/>
  <c r="O4" i="30" a="1"/>
  <c r="O4" i="30" s="1"/>
  <c r="Y4" i="30" a="1"/>
  <c r="Y4" i="30" s="1"/>
  <c r="AI4" i="30" a="1"/>
  <c r="AI4" i="30" s="1"/>
  <c r="L5" i="30" a="1"/>
  <c r="L5" i="30" s="1"/>
  <c r="V5" i="30" a="1"/>
  <c r="V5" i="30" s="1"/>
  <c r="AF5" i="30" a="1"/>
  <c r="AF5" i="30" s="1"/>
  <c r="I6" i="30" a="1"/>
  <c r="I6" i="30" s="1"/>
  <c r="S6" i="30" a="1"/>
  <c r="S6" i="30" s="1"/>
  <c r="AC6" i="30" a="1"/>
  <c r="AC6" i="30" s="1"/>
  <c r="F7" i="30" a="1"/>
  <c r="F7" i="30" s="1"/>
  <c r="P7" i="30" a="1"/>
  <c r="P7" i="30" s="1"/>
  <c r="Z7" i="30" a="1"/>
  <c r="Z7" i="30" s="1"/>
  <c r="AJ7" i="30" a="1"/>
  <c r="AJ7" i="30" s="1"/>
  <c r="M8" i="30" a="1"/>
  <c r="M8" i="30" s="1"/>
  <c r="W8" i="30" a="1"/>
  <c r="W8" i="30" s="1"/>
  <c r="AG8" i="30" a="1"/>
  <c r="AG8" i="30" s="1"/>
  <c r="J9" i="30" a="1"/>
  <c r="J9" i="30" s="1"/>
  <c r="T9" i="30" a="1"/>
  <c r="T9" i="30" s="1"/>
  <c r="AD9" i="30" a="1"/>
  <c r="AD9" i="30" s="1"/>
  <c r="G10" i="30" a="1"/>
  <c r="G10" i="30" s="1"/>
  <c r="Q10" i="30" a="1"/>
  <c r="Q10" i="30" s="1"/>
  <c r="AA10" i="30" a="1"/>
  <c r="AA10" i="30" s="1"/>
  <c r="AL10" i="30" a="1"/>
  <c r="AL10" i="30" s="1"/>
  <c r="N11" i="30" a="1"/>
  <c r="N11" i="30" s="1"/>
  <c r="F12" i="27" a="1"/>
  <c r="F12" i="27" s="1"/>
  <c r="T14" i="27" a="1"/>
  <c r="T14" i="27" s="1"/>
  <c r="AJ15" i="27" a="1"/>
  <c r="AJ15" i="27" s="1"/>
  <c r="Q12" i="27" a="1"/>
  <c r="Q12" i="27" s="1"/>
  <c r="V14" i="27" a="1"/>
  <c r="V14" i="27" s="1"/>
  <c r="F2" i="27" a="1"/>
  <c r="F2" i="27" s="1"/>
  <c r="AL3" i="28" a="1"/>
  <c r="AL3" i="28" s="1"/>
  <c r="AK6" i="30" a="1"/>
  <c r="AK6" i="30" s="1"/>
  <c r="J3" i="30" a="1"/>
  <c r="J3" i="30" s="1"/>
  <c r="T3" i="30" a="1"/>
  <c r="T3" i="30" s="1"/>
  <c r="AD3" i="30" a="1"/>
  <c r="AD3" i="30" s="1"/>
  <c r="G4" i="30" a="1"/>
  <c r="G4" i="30" s="1"/>
  <c r="Q4" i="30" a="1"/>
  <c r="Q4" i="30" s="1"/>
  <c r="AA4" i="30" a="1"/>
  <c r="AA4" i="30" s="1"/>
  <c r="AL4" i="30" a="1"/>
  <c r="AL4" i="30" s="1"/>
  <c r="N5" i="30" a="1"/>
  <c r="N5" i="30" s="1"/>
  <c r="X5" i="30" a="1"/>
  <c r="X5" i="30" s="1"/>
  <c r="AH5" i="30" a="1"/>
  <c r="AH5" i="30" s="1"/>
  <c r="K6" i="30" a="1"/>
  <c r="K6" i="30" s="1"/>
  <c r="U6" i="30" a="1"/>
  <c r="U6" i="30" s="1"/>
  <c r="AE6" i="30" a="1"/>
  <c r="AE6" i="30" s="1"/>
  <c r="H7" i="30" a="1"/>
  <c r="H7" i="30" s="1"/>
  <c r="R7" i="30" a="1"/>
  <c r="R7" i="30" s="1"/>
  <c r="AB7" i="30" a="1"/>
  <c r="AB7" i="30" s="1"/>
  <c r="E8" i="30" a="1"/>
  <c r="E8" i="30" s="1"/>
  <c r="O8" i="30" a="1"/>
  <c r="O8" i="30" s="1"/>
  <c r="Y8" i="30" a="1"/>
  <c r="Y8" i="30" s="1"/>
  <c r="AI8" i="30" a="1"/>
  <c r="AI8" i="30" s="1"/>
  <c r="L9" i="30" a="1"/>
  <c r="L9" i="30" s="1"/>
  <c r="V9" i="30" a="1"/>
  <c r="V9" i="30" s="1"/>
  <c r="AF9" i="30" a="1"/>
  <c r="AF9" i="30" s="1"/>
  <c r="I10" i="30" a="1"/>
  <c r="I10" i="30" s="1"/>
  <c r="S10" i="30" a="1"/>
  <c r="S10" i="30" s="1"/>
  <c r="AC10" i="30" a="1"/>
  <c r="AC10" i="30" s="1"/>
  <c r="F11" i="30" a="1"/>
  <c r="F11" i="30" s="1"/>
  <c r="P11" i="30" a="1"/>
  <c r="P11" i="30" s="1"/>
  <c r="AA12" i="27" a="1"/>
  <c r="AA12" i="27" s="1"/>
  <c r="AD14" i="27" a="1"/>
  <c r="AD14" i="27" s="1"/>
  <c r="N2" i="27" a="1"/>
  <c r="N2" i="27" s="1"/>
  <c r="AL4" i="28" a="1"/>
  <c r="AL4" i="28" s="1"/>
  <c r="AK7" i="30" a="1"/>
  <c r="AK7" i="30" s="1"/>
  <c r="K3" i="30" a="1"/>
  <c r="K3" i="30" s="1"/>
  <c r="U3" i="30" a="1"/>
  <c r="U3" i="30" s="1"/>
  <c r="AE3" i="30" a="1"/>
  <c r="AE3" i="30" s="1"/>
  <c r="H4" i="30" a="1"/>
  <c r="H4" i="30" s="1"/>
  <c r="R4" i="30" a="1"/>
  <c r="R4" i="30" s="1"/>
  <c r="AB4" i="30" a="1"/>
  <c r="AB4" i="30" s="1"/>
  <c r="E5" i="30" a="1"/>
  <c r="E5" i="30" s="1"/>
  <c r="O5" i="30" a="1"/>
  <c r="O5" i="30" s="1"/>
  <c r="Y5" i="30" a="1"/>
  <c r="Y5" i="30" s="1"/>
  <c r="AI5" i="30" a="1"/>
  <c r="AI5" i="30" s="1"/>
  <c r="L6" i="30" a="1"/>
  <c r="L6" i="30" s="1"/>
  <c r="V6" i="30" a="1"/>
  <c r="V6" i="30" s="1"/>
  <c r="AF6" i="30" a="1"/>
  <c r="AF6" i="30" s="1"/>
  <c r="I7" i="30" a="1"/>
  <c r="I7" i="30" s="1"/>
  <c r="S7" i="30" a="1"/>
  <c r="S7" i="30" s="1"/>
  <c r="AC7" i="30" a="1"/>
  <c r="AC7" i="30" s="1"/>
  <c r="F8" i="30" a="1"/>
  <c r="F8" i="30" s="1"/>
  <c r="P8" i="30" a="1"/>
  <c r="P8" i="30" s="1"/>
  <c r="Z8" i="30" a="1"/>
  <c r="Z8" i="30" s="1"/>
  <c r="AJ8" i="30" a="1"/>
  <c r="AJ8" i="30" s="1"/>
  <c r="M9" i="30" a="1"/>
  <c r="M9" i="30" s="1"/>
  <c r="W9" i="30" a="1"/>
  <c r="W9" i="30" s="1"/>
  <c r="AG9" i="30" a="1"/>
  <c r="AG9" i="30" s="1"/>
  <c r="J10" i="30" a="1"/>
  <c r="J10" i="30" s="1"/>
  <c r="E13" i="27" a="1"/>
  <c r="E13" i="27" s="1"/>
  <c r="AF14" i="27" a="1"/>
  <c r="AF14" i="27" s="1"/>
  <c r="P2" i="27" a="1"/>
  <c r="P2" i="27" s="1"/>
  <c r="AL5" i="28" a="1"/>
  <c r="AL5" i="28" s="1"/>
  <c r="AK8" i="30" a="1"/>
  <c r="AK8" i="30" s="1"/>
  <c r="AI9" i="27" a="1"/>
  <c r="AI9" i="27" s="1"/>
  <c r="O13" i="27" a="1"/>
  <c r="O13" i="27" s="1"/>
  <c r="G15" i="27" a="1"/>
  <c r="G15" i="27" s="1"/>
  <c r="X2" i="27" a="1"/>
  <c r="X2" i="27" s="1"/>
  <c r="AL4" i="23" a="1"/>
  <c r="AL4" i="23" s="1"/>
  <c r="AE2" i="30" a="1"/>
  <c r="AE2" i="30" s="1"/>
  <c r="S2" i="30" a="1"/>
  <c r="S2" i="30" s="1"/>
  <c r="G2" i="30" a="1"/>
  <c r="G2" i="30" s="1"/>
  <c r="W13" i="30" a="1"/>
  <c r="W13" i="30" s="1"/>
  <c r="J13" i="30" a="1"/>
  <c r="J13" i="30" s="1"/>
  <c r="AD12" i="30" a="1"/>
  <c r="AD12" i="30" s="1"/>
  <c r="N12" i="30" a="1"/>
  <c r="N12" i="30" s="1"/>
  <c r="AH11" i="30" a="1"/>
  <c r="AH11" i="30" s="1"/>
  <c r="R11" i="30" a="1"/>
  <c r="R11" i="30" s="1"/>
  <c r="AE10" i="30" a="1"/>
  <c r="AE10" i="30" s="1"/>
  <c r="K10" i="30" a="1"/>
  <c r="K10" i="30" s="1"/>
  <c r="S9" i="30" a="1"/>
  <c r="S9" i="30" s="1"/>
  <c r="AA8" i="30" a="1"/>
  <c r="AA8" i="30" s="1"/>
  <c r="AI7" i="30" a="1"/>
  <c r="AI7" i="30" s="1"/>
  <c r="J7" i="30" a="1"/>
  <c r="J7" i="30" s="1"/>
  <c r="R6" i="30" a="1"/>
  <c r="R6" i="30" s="1"/>
  <c r="W5" i="30" a="1"/>
  <c r="W5" i="30" s="1"/>
  <c r="T4" i="30" a="1"/>
  <c r="T4" i="30" s="1"/>
  <c r="V3" i="30" a="1"/>
  <c r="V3" i="30" s="1"/>
  <c r="E2" i="30" a="1"/>
  <c r="E2" i="30" s="1"/>
  <c r="AJ12" i="30" a="1"/>
  <c r="AJ12" i="30" s="1"/>
  <c r="AA11" i="30" a="1"/>
  <c r="AA11" i="30" s="1"/>
  <c r="I9" i="30" a="1"/>
  <c r="I9" i="30" s="1"/>
  <c r="W7" i="20" a="1"/>
  <c r="W7" i="20" s="1"/>
  <c r="I7" i="20" a="1"/>
  <c r="I7" i="20" s="1"/>
  <c r="AD2" i="30" a="1"/>
  <c r="AD2" i="30" s="1"/>
  <c r="R2" i="30" a="1"/>
  <c r="R2" i="30" s="1"/>
  <c r="F2" i="30" a="1"/>
  <c r="F2" i="30" s="1"/>
  <c r="V13" i="30" a="1"/>
  <c r="V13" i="30" s="1"/>
  <c r="I13" i="30" a="1"/>
  <c r="I13" i="30" s="1"/>
  <c r="Z12" i="30" a="1"/>
  <c r="Z12" i="30" s="1"/>
  <c r="M12" i="30" a="1"/>
  <c r="M12" i="30" s="1"/>
  <c r="AG11" i="30" a="1"/>
  <c r="AG11" i="30" s="1"/>
  <c r="Q11" i="30" a="1"/>
  <c r="Q11" i="30" s="1"/>
  <c r="AD10" i="30" a="1"/>
  <c r="AD10" i="30" s="1"/>
  <c r="H10" i="30" a="1"/>
  <c r="H10" i="30" s="1"/>
  <c r="O9" i="30" a="1"/>
  <c r="O9" i="30" s="1"/>
  <c r="X8" i="30" a="1"/>
  <c r="X8" i="30" s="1"/>
  <c r="AE7" i="30" a="1"/>
  <c r="AE7" i="30" s="1"/>
  <c r="G7" i="30" a="1"/>
  <c r="G7" i="30" s="1"/>
  <c r="N6" i="30" a="1"/>
  <c r="N6" i="30" s="1"/>
  <c r="Q5" i="30" a="1"/>
  <c r="Q5" i="30" s="1"/>
  <c r="S4" i="30" a="1"/>
  <c r="S4" i="30" s="1"/>
  <c r="S3" i="30" a="1"/>
  <c r="S3" i="30" s="1"/>
  <c r="AC2" i="30" a="1"/>
  <c r="AC2" i="30" s="1"/>
  <c r="Q2" i="30" a="1"/>
  <c r="Q2" i="30" s="1"/>
  <c r="AL13" i="30" a="1"/>
  <c r="AL13" i="30" s="1"/>
  <c r="U13" i="30" a="1"/>
  <c r="U13" i="30" s="1"/>
  <c r="H13" i="30" a="1"/>
  <c r="H13" i="30" s="1"/>
  <c r="Y12" i="30" a="1"/>
  <c r="Y12" i="30" s="1"/>
  <c r="L12" i="30" a="1"/>
  <c r="L12" i="30" s="1"/>
  <c r="AC11" i="30" a="1"/>
  <c r="AC11" i="30" s="1"/>
  <c r="O11" i="30" a="1"/>
  <c r="O11" i="30" s="1"/>
  <c r="AB10" i="30" a="1"/>
  <c r="AB10" i="30" s="1"/>
  <c r="F10" i="30" a="1"/>
  <c r="F10" i="30" s="1"/>
  <c r="N9" i="30" a="1"/>
  <c r="N9" i="30" s="1"/>
  <c r="V8" i="30" a="1"/>
  <c r="V8" i="30" s="1"/>
  <c r="AD7" i="30" a="1"/>
  <c r="AD7" i="30" s="1"/>
  <c r="E7" i="30" a="1"/>
  <c r="E7" i="30" s="1"/>
  <c r="M6" i="30" a="1"/>
  <c r="M6" i="30" s="1"/>
  <c r="P5" i="30" a="1"/>
  <c r="P5" i="30" s="1"/>
  <c r="P4" i="30" a="1"/>
  <c r="P4" i="30" s="1"/>
  <c r="AB2" i="30" a="1"/>
  <c r="AB2" i="30" s="1"/>
  <c r="P2" i="30" a="1"/>
  <c r="P2" i="30" s="1"/>
  <c r="AG13" i="30" a="1"/>
  <c r="AG13" i="30" s="1"/>
  <c r="T13" i="30" a="1"/>
  <c r="T13" i="30" s="1"/>
  <c r="G13" i="30" a="1"/>
  <c r="G13" i="30" s="1"/>
  <c r="X12" i="30" a="1"/>
  <c r="X12" i="30" s="1"/>
  <c r="K12" i="30" a="1"/>
  <c r="K12" i="30" s="1"/>
  <c r="AB11" i="30" a="1"/>
  <c r="AB11" i="30" s="1"/>
  <c r="M11" i="30" a="1"/>
  <c r="M11" i="30" s="1"/>
  <c r="Z10" i="30" a="1"/>
  <c r="Z10" i="30" s="1"/>
  <c r="AI9" i="30" a="1"/>
  <c r="AI9" i="30" s="1"/>
  <c r="K9" i="30" a="1"/>
  <c r="K9" i="30" s="1"/>
  <c r="R8" i="30" a="1"/>
  <c r="R8" i="30" s="1"/>
  <c r="AA7" i="30" a="1"/>
  <c r="AA7" i="30" s="1"/>
  <c r="AH6" i="30" a="1"/>
  <c r="AH6" i="30" s="1"/>
  <c r="J6" i="30" a="1"/>
  <c r="J6" i="30" s="1"/>
  <c r="M5" i="30" a="1"/>
  <c r="M5" i="30" s="1"/>
  <c r="J4" i="30" a="1"/>
  <c r="J4" i="30" s="1"/>
  <c r="L3" i="30" a="1"/>
  <c r="L3" i="30" s="1"/>
  <c r="AL5" i="23" a="1"/>
  <c r="AL5" i="23" s="1"/>
  <c r="AL6" i="24" a="1"/>
  <c r="AL6" i="24" s="1"/>
  <c r="E10" i="20" a="1"/>
  <c r="E10" i="20" s="1"/>
  <c r="AE10" i="20" a="1"/>
  <c r="AE10" i="20" s="1"/>
  <c r="U10" i="20" a="1"/>
  <c r="U10" i="20" s="1"/>
  <c r="I10" i="20" a="1"/>
  <c r="I10" i="20" s="1"/>
  <c r="AB9" i="20" a="1"/>
  <c r="AB9" i="20" s="1"/>
  <c r="K9" i="20" a="1"/>
  <c r="K9" i="20" s="1"/>
  <c r="AB8" i="20" a="1"/>
  <c r="AB8" i="20" s="1"/>
  <c r="J8" i="20" a="1"/>
  <c r="J8" i="20" s="1"/>
  <c r="Y7" i="20" a="1"/>
  <c r="Y7" i="20" s="1"/>
  <c r="J7" i="20" a="1"/>
  <c r="J7" i="20" s="1"/>
  <c r="X11" i="20" a="1"/>
  <c r="X11" i="20" s="1"/>
  <c r="G11" i="20" a="1"/>
  <c r="G11" i="20" s="1"/>
  <c r="AC11" i="23" a="1"/>
  <c r="AC11" i="23" s="1"/>
  <c r="K11" i="23" a="1"/>
  <c r="K11" i="23" s="1"/>
  <c r="AA10" i="23" a="1"/>
  <c r="AA10" i="23" s="1"/>
  <c r="L10" i="23" a="1"/>
  <c r="L10" i="23" s="1"/>
  <c r="AA9" i="23" a="1"/>
  <c r="AA9" i="23" s="1"/>
  <c r="J9" i="23" a="1"/>
  <c r="J9" i="23" s="1"/>
  <c r="AB8" i="23" a="1"/>
  <c r="AB8" i="23" s="1"/>
  <c r="J8" i="23" a="1"/>
  <c r="J8" i="23" s="1"/>
  <c r="Z7" i="23" a="1"/>
  <c r="Z7" i="23" s="1"/>
  <c r="M13" i="24" a="1"/>
  <c r="M13" i="24" s="1"/>
  <c r="AC11" i="24" a="1"/>
  <c r="AC11" i="24" s="1"/>
  <c r="L10" i="24" a="1"/>
  <c r="L10" i="24" s="1"/>
  <c r="AB8" i="24" a="1"/>
  <c r="AB8" i="24" s="1"/>
  <c r="P2" i="25" a="1"/>
  <c r="P2" i="25" s="1"/>
  <c r="N5" i="25" a="1"/>
  <c r="N5" i="25" s="1"/>
  <c r="AD3" i="25" a="1"/>
  <c r="AD3" i="25" s="1"/>
  <c r="V7" i="26" a="1"/>
  <c r="V7" i="26" s="1"/>
  <c r="N3" i="26" a="1"/>
  <c r="N3" i="26" s="1"/>
  <c r="I13" i="24" a="1"/>
  <c r="I13" i="24" s="1"/>
  <c r="X3" i="25" a="1"/>
  <c r="X3" i="25" s="1"/>
  <c r="J2" i="26" a="1"/>
  <c r="J2" i="26" s="1"/>
  <c r="P7" i="26" a="1"/>
  <c r="P7" i="26" s="1"/>
  <c r="AD5" i="26" a="1"/>
  <c r="AD5" i="26" s="1"/>
  <c r="E7" i="26" a="1"/>
  <c r="E7" i="26" s="1"/>
  <c r="AL3" i="23" a="1"/>
  <c r="AL3" i="23" s="1"/>
  <c r="AL4" i="24" a="1"/>
  <c r="AL4" i="24" s="1"/>
  <c r="E8" i="20" a="1"/>
  <c r="E8" i="20" s="1"/>
  <c r="AC10" i="20" a="1"/>
  <c r="AC10" i="20" s="1"/>
  <c r="R10" i="20" a="1"/>
  <c r="R10" i="20" s="1"/>
  <c r="G10" i="20" a="1"/>
  <c r="G10" i="20" s="1"/>
  <c r="Z9" i="20" a="1"/>
  <c r="Z9" i="20" s="1"/>
  <c r="H9" i="20" a="1"/>
  <c r="H9" i="20" s="1"/>
  <c r="W8" i="20" a="1"/>
  <c r="W8" i="20" s="1"/>
  <c r="H8" i="20" a="1"/>
  <c r="H8" i="20" s="1"/>
  <c r="V7" i="20" a="1"/>
  <c r="V7" i="20" s="1"/>
  <c r="AL11" i="20" a="1"/>
  <c r="AL11" i="20" s="1"/>
  <c r="V11" i="20" a="1"/>
  <c r="V11" i="20" s="1"/>
  <c r="X11" i="23" a="1"/>
  <c r="X11" i="23" s="1"/>
  <c r="I11" i="23" a="1"/>
  <c r="I11" i="23" s="1"/>
  <c r="X10" i="23" a="1"/>
  <c r="X10" i="23" s="1"/>
  <c r="G10" i="23" a="1"/>
  <c r="G10" i="23" s="1"/>
  <c r="Y9" i="23" a="1"/>
  <c r="Y9" i="23" s="1"/>
  <c r="G9" i="23" a="1"/>
  <c r="G9" i="23" s="1"/>
  <c r="W8" i="23" a="1"/>
  <c r="W8" i="23" s="1"/>
  <c r="H8" i="23" a="1"/>
  <c r="H8" i="23" s="1"/>
  <c r="W7" i="23" a="1"/>
  <c r="W7" i="23" s="1"/>
  <c r="AJ12" i="24" a="1"/>
  <c r="AJ12" i="24" s="1"/>
  <c r="S11" i="24" a="1"/>
  <c r="S11" i="24" s="1"/>
  <c r="AI9" i="24" a="1"/>
  <c r="AI9" i="24" s="1"/>
  <c r="R8" i="24" a="1"/>
  <c r="R8" i="24" s="1"/>
  <c r="F2" i="25" a="1"/>
  <c r="F2" i="25" s="1"/>
  <c r="AL4" i="25" a="1"/>
  <c r="AL4" i="25" s="1"/>
  <c r="T3" i="25" a="1"/>
  <c r="T3" i="25" s="1"/>
  <c r="F2" i="26" a="1"/>
  <c r="F2" i="26" s="1"/>
  <c r="L7" i="26" a="1"/>
  <c r="L7" i="26" s="1"/>
  <c r="Z5" i="26" a="1"/>
  <c r="Z5" i="26" s="1"/>
  <c r="AD10" i="20" a="1"/>
  <c r="AD10" i="20" s="1"/>
  <c r="H10" i="20" a="1"/>
  <c r="H10" i="20" s="1"/>
  <c r="AA8" i="20" a="1"/>
  <c r="AA8" i="20" s="1"/>
  <c r="E7" i="20" a="1"/>
  <c r="E7" i="20" s="1"/>
  <c r="AB10" i="20" a="1"/>
  <c r="AB10" i="20" s="1"/>
  <c r="Q10" i="20" a="1"/>
  <c r="Q10" i="20" s="1"/>
  <c r="F10" i="20" a="1"/>
  <c r="F10" i="20" s="1"/>
  <c r="Y9" i="20" a="1"/>
  <c r="Y9" i="20" s="1"/>
  <c r="G9" i="20" a="1"/>
  <c r="G9" i="20" s="1"/>
  <c r="U8" i="20" a="1"/>
  <c r="U8" i="20" s="1"/>
  <c r="G8" i="20" a="1"/>
  <c r="G8" i="20" s="1"/>
  <c r="U7" i="20" a="1"/>
  <c r="U7" i="20" s="1"/>
  <c r="AI11" i="20" a="1"/>
  <c r="AI11" i="20" s="1"/>
  <c r="U11" i="20" a="1"/>
  <c r="U11" i="20" s="1"/>
  <c r="V11" i="23" a="1"/>
  <c r="V11" i="23" s="1"/>
  <c r="H11" i="23" a="1"/>
  <c r="H11" i="23" s="1"/>
  <c r="W10" i="23" a="1"/>
  <c r="W10" i="23" s="1"/>
  <c r="E10" i="23" a="1"/>
  <c r="E10" i="23" s="1"/>
  <c r="X9" i="23" a="1"/>
  <c r="X9" i="23" s="1"/>
  <c r="F9" i="23" a="1"/>
  <c r="F9" i="23" s="1"/>
  <c r="U8" i="23" a="1"/>
  <c r="U8" i="23" s="1"/>
  <c r="G8" i="23" a="1"/>
  <c r="G8" i="23" s="1"/>
  <c r="V7" i="23" a="1"/>
  <c r="V7" i="23" s="1"/>
  <c r="AF12" i="24" a="1"/>
  <c r="AF12" i="24" s="1"/>
  <c r="O11" i="24" a="1"/>
  <c r="O11" i="24" s="1"/>
  <c r="AE9" i="24" a="1"/>
  <c r="AE9" i="24" s="1"/>
  <c r="N8" i="24" a="1"/>
  <c r="N8" i="24" s="1"/>
  <c r="AF2" i="25" a="1"/>
  <c r="AF2" i="25" s="1"/>
  <c r="AE4" i="25" a="1"/>
  <c r="AE4" i="25" s="1"/>
  <c r="N3" i="25" a="1"/>
  <c r="N3" i="25" s="1"/>
  <c r="AF2" i="26" a="1"/>
  <c r="AF2" i="26" s="1"/>
  <c r="F7" i="26" a="1"/>
  <c r="F7" i="26" s="1"/>
  <c r="T5" i="26" a="1"/>
  <c r="T5" i="26" s="1"/>
  <c r="AA8" i="23" a="1"/>
  <c r="AA8" i="23" s="1"/>
  <c r="AL3" i="24" a="1"/>
  <c r="AL3" i="24" s="1"/>
  <c r="AL10" i="20" a="1"/>
  <c r="AL10" i="20" s="1"/>
  <c r="AA10" i="20" a="1"/>
  <c r="AA10" i="20" s="1"/>
  <c r="P10" i="20" a="1"/>
  <c r="P10" i="20" s="1"/>
  <c r="AL9" i="20" a="1"/>
  <c r="AL9" i="20" s="1"/>
  <c r="U9" i="20" a="1"/>
  <c r="U9" i="20" s="1"/>
  <c r="F9" i="20" a="1"/>
  <c r="F9" i="20" s="1"/>
  <c r="T8" i="20" a="1"/>
  <c r="T8" i="20" s="1"/>
  <c r="AI7" i="20" a="1"/>
  <c r="AI7" i="20" s="1"/>
  <c r="T7" i="20" a="1"/>
  <c r="T7" i="20" s="1"/>
  <c r="AH11" i="20" a="1"/>
  <c r="AH11" i="20" s="1"/>
  <c r="Q11" i="20" a="1"/>
  <c r="Q11" i="20" s="1"/>
  <c r="U11" i="23" a="1"/>
  <c r="U11" i="23" s="1"/>
  <c r="AL10" i="23" a="1"/>
  <c r="AL10" i="23" s="1"/>
  <c r="V10" i="23" a="1"/>
  <c r="V10" i="23" s="1"/>
  <c r="AL9" i="23" a="1"/>
  <c r="AL9" i="23" s="1"/>
  <c r="T9" i="23" a="1"/>
  <c r="T9" i="23" s="1"/>
  <c r="E9" i="23" a="1"/>
  <c r="E9" i="23" s="1"/>
  <c r="T8" i="23" a="1"/>
  <c r="T8" i="23" s="1"/>
  <c r="AJ7" i="23" a="1"/>
  <c r="AJ7" i="23" s="1"/>
  <c r="U7" i="23" a="1"/>
  <c r="U7" i="23" s="1"/>
  <c r="Z12" i="24" a="1"/>
  <c r="Z12" i="24" s="1"/>
  <c r="I11" i="24" a="1"/>
  <c r="I11" i="24" s="1"/>
  <c r="Y9" i="24" a="1"/>
  <c r="Y9" i="24" s="1"/>
  <c r="H8" i="24" a="1"/>
  <c r="H8" i="24" s="1"/>
  <c r="AB2" i="25" a="1"/>
  <c r="AB2" i="25" s="1"/>
  <c r="AA4" i="25" a="1"/>
  <c r="AA4" i="25" s="1"/>
  <c r="J3" i="25" a="1"/>
  <c r="J3" i="25" s="1"/>
  <c r="AB2" i="26" a="1"/>
  <c r="AB2" i="26" s="1"/>
  <c r="AH6" i="26" a="1"/>
  <c r="AH6" i="26" s="1"/>
  <c r="J5" i="26" a="1"/>
  <c r="J5" i="26" s="1"/>
  <c r="J11" i="23" a="1"/>
  <c r="J11" i="23" s="1"/>
  <c r="H9" i="23" a="1"/>
  <c r="H9" i="23" s="1"/>
  <c r="AJ10" i="20" a="1"/>
  <c r="AJ10" i="20" s="1"/>
  <c r="Z10" i="20" a="1"/>
  <c r="Z10" i="20" s="1"/>
  <c r="O10" i="20" a="1"/>
  <c r="O10" i="20" s="1"/>
  <c r="AJ9" i="20" a="1"/>
  <c r="AJ9" i="20" s="1"/>
  <c r="S9" i="20" a="1"/>
  <c r="S9" i="20" s="1"/>
  <c r="AL8" i="20" a="1"/>
  <c r="AL8" i="20" s="1"/>
  <c r="S8" i="20" a="1"/>
  <c r="S8" i="20" s="1"/>
  <c r="AG7" i="20" a="1"/>
  <c r="AG7" i="20" s="1"/>
  <c r="S7" i="20" a="1"/>
  <c r="S7" i="20" s="1"/>
  <c r="AG11" i="20" a="1"/>
  <c r="AG11" i="20" s="1"/>
  <c r="O11" i="20" a="1"/>
  <c r="O11" i="20" s="1"/>
  <c r="T11" i="23" a="1"/>
  <c r="T11" i="23" s="1"/>
  <c r="AI10" i="23" a="1"/>
  <c r="AI10" i="23" s="1"/>
  <c r="U10" i="23" a="1"/>
  <c r="U10" i="23" s="1"/>
  <c r="AJ9" i="23" a="1"/>
  <c r="AJ9" i="23" s="1"/>
  <c r="R9" i="23" a="1"/>
  <c r="R9" i="23" s="1"/>
  <c r="AL8" i="23" a="1"/>
  <c r="AL8" i="23" s="1"/>
  <c r="S8" i="23" a="1"/>
  <c r="S8" i="23" s="1"/>
  <c r="AH7" i="23" a="1"/>
  <c r="AH7" i="23" s="1"/>
  <c r="T7" i="23" a="1"/>
  <c r="T7" i="23" s="1"/>
  <c r="V12" i="24" a="1"/>
  <c r="V12" i="24" s="1"/>
  <c r="E11" i="24" a="1"/>
  <c r="E11" i="24" s="1"/>
  <c r="U9" i="24" a="1"/>
  <c r="U9" i="24" s="1"/>
  <c r="V2" i="25" a="1"/>
  <c r="V2" i="25" s="1"/>
  <c r="U4" i="25" a="1"/>
  <c r="U4" i="25" s="1"/>
  <c r="V2" i="26" a="1"/>
  <c r="V2" i="26" s="1"/>
  <c r="AB6" i="26" a="1"/>
  <c r="AB6" i="26" s="1"/>
  <c r="AF4" i="26" a="1"/>
  <c r="AF4" i="26" s="1"/>
  <c r="Y10" i="23" a="1"/>
  <c r="Y10" i="23" s="1"/>
  <c r="Z9" i="23" a="1"/>
  <c r="Z9" i="23" s="1"/>
  <c r="I8" i="23" a="1"/>
  <c r="I8" i="23" s="1"/>
  <c r="Y11" i="24" a="1"/>
  <c r="Y11" i="24" s="1"/>
  <c r="H10" i="24" a="1"/>
  <c r="H10" i="24" s="1"/>
  <c r="X8" i="24" a="1"/>
  <c r="X8" i="24" s="1"/>
  <c r="J2" i="25" a="1"/>
  <c r="J2" i="25" s="1"/>
  <c r="AI10" i="20" a="1"/>
  <c r="AI10" i="20" s="1"/>
  <c r="Y10" i="20" a="1"/>
  <c r="Y10" i="20" s="1"/>
  <c r="N10" i="20" a="1"/>
  <c r="N10" i="20" s="1"/>
  <c r="AI9" i="20" a="1"/>
  <c r="AI9" i="20" s="1"/>
  <c r="R9" i="20" a="1"/>
  <c r="R9" i="20" s="1"/>
  <c r="AG8" i="20" a="1"/>
  <c r="AG8" i="20" s="1"/>
  <c r="R8" i="20" a="1"/>
  <c r="R8" i="20" s="1"/>
  <c r="AF7" i="20" a="1"/>
  <c r="AF7" i="20" s="1"/>
  <c r="O7" i="20" a="1"/>
  <c r="O7" i="20" s="1"/>
  <c r="AF11" i="20" a="1"/>
  <c r="AF11" i="20" s="1"/>
  <c r="N11" i="20" a="1"/>
  <c r="N11" i="20" s="1"/>
  <c r="AH11" i="23" a="1"/>
  <c r="AH11" i="23" s="1"/>
  <c r="S11" i="23" a="1"/>
  <c r="S11" i="23" s="1"/>
  <c r="AH10" i="23" a="1"/>
  <c r="AH10" i="23" s="1"/>
  <c r="Q10" i="23" a="1"/>
  <c r="Q10" i="23" s="1"/>
  <c r="AI9" i="23" a="1"/>
  <c r="AI9" i="23" s="1"/>
  <c r="Q9" i="23" a="1"/>
  <c r="Q9" i="23" s="1"/>
  <c r="AG8" i="23" a="1"/>
  <c r="AG8" i="23" s="1"/>
  <c r="R8" i="23" a="1"/>
  <c r="R8" i="23" s="1"/>
  <c r="AG7" i="23" a="1"/>
  <c r="AG7" i="23" s="1"/>
  <c r="P7" i="23" a="1"/>
  <c r="P7" i="23" s="1"/>
  <c r="AG13" i="24" a="1"/>
  <c r="AG13" i="24" s="1"/>
  <c r="P12" i="24" a="1"/>
  <c r="P12" i="24" s="1"/>
  <c r="AF10" i="24" a="1"/>
  <c r="AF10" i="24" s="1"/>
  <c r="O9" i="24" a="1"/>
  <c r="O9" i="24" s="1"/>
  <c r="AH5" i="25" a="1"/>
  <c r="AH5" i="25" s="1"/>
  <c r="Q4" i="25" a="1"/>
  <c r="Q4" i="25" s="1"/>
  <c r="R2" i="26" a="1"/>
  <c r="R2" i="26" s="1"/>
  <c r="X6" i="26" a="1"/>
  <c r="X6" i="26" s="1"/>
  <c r="S10" i="20" a="1"/>
  <c r="S10" i="20" s="1"/>
  <c r="AA9" i="20" a="1"/>
  <c r="AA9" i="20" s="1"/>
  <c r="I9" i="20" a="1"/>
  <c r="I9" i="20" s="1"/>
  <c r="I8" i="20" a="1"/>
  <c r="I8" i="20" s="1"/>
  <c r="AB11" i="23" a="1"/>
  <c r="AB11" i="23" s="1"/>
  <c r="K10" i="23" a="1"/>
  <c r="K10" i="23" s="1"/>
  <c r="X7" i="23" a="1"/>
  <c r="X7" i="23" s="1"/>
  <c r="H5" i="25" a="1"/>
  <c r="H5" i="25" s="1"/>
  <c r="AL7" i="19" a="1"/>
  <c r="AL7" i="19" s="1"/>
  <c r="G3" i="26" a="1"/>
  <c r="G3" i="26" s="1"/>
  <c r="Q3" i="26" a="1"/>
  <c r="Q3" i="26" s="1"/>
  <c r="AA3" i="26" a="1"/>
  <c r="AA3" i="26" s="1"/>
  <c r="AL3" i="26" a="1"/>
  <c r="AL3" i="26" s="1"/>
  <c r="O4" i="26" a="1"/>
  <c r="O4" i="26" s="1"/>
  <c r="Y4" i="26" a="1"/>
  <c r="Y4" i="26" s="1"/>
  <c r="AI4" i="26" a="1"/>
  <c r="AI4" i="26" s="1"/>
  <c r="M5" i="26" a="1"/>
  <c r="M5" i="26" s="1"/>
  <c r="W5" i="26" a="1"/>
  <c r="W5" i="26" s="1"/>
  <c r="AG5" i="26" a="1"/>
  <c r="AG5" i="26" s="1"/>
  <c r="K6" i="26" a="1"/>
  <c r="K6" i="26" s="1"/>
  <c r="U6" i="26" a="1"/>
  <c r="U6" i="26" s="1"/>
  <c r="AE6" i="26" a="1"/>
  <c r="AE6" i="26" s="1"/>
  <c r="I7" i="26" a="1"/>
  <c r="I7" i="26" s="1"/>
  <c r="S7" i="26" a="1"/>
  <c r="S7" i="26" s="1"/>
  <c r="AC7" i="26" a="1"/>
  <c r="AC7" i="26" s="1"/>
  <c r="O2" i="26" a="1"/>
  <c r="O2" i="26" s="1"/>
  <c r="Y2" i="26" a="1"/>
  <c r="Y2" i="26" s="1"/>
  <c r="AI2" i="26" a="1"/>
  <c r="AI2" i="26" s="1"/>
  <c r="M2" i="26" a="1"/>
  <c r="M2" i="26" s="1"/>
  <c r="G3" i="25" a="1"/>
  <c r="G3" i="25" s="1"/>
  <c r="Q3" i="25" a="1"/>
  <c r="Q3" i="25" s="1"/>
  <c r="AA3" i="25" a="1"/>
  <c r="AA3" i="25" s="1"/>
  <c r="AL3" i="25" a="1"/>
  <c r="AL3" i="25" s="1"/>
  <c r="N4" i="25" a="1"/>
  <c r="N4" i="25" s="1"/>
  <c r="X4" i="25" a="1"/>
  <c r="X4" i="25" s="1"/>
  <c r="AH4" i="25" a="1"/>
  <c r="AH4" i="25" s="1"/>
  <c r="K5" i="25" a="1"/>
  <c r="K5" i="25" s="1"/>
  <c r="U5" i="25" a="1"/>
  <c r="U5" i="25" s="1"/>
  <c r="AE5" i="25" a="1"/>
  <c r="AE5" i="25" s="1"/>
  <c r="Y2" i="25" a="1"/>
  <c r="Y2" i="25" s="1"/>
  <c r="AI2" i="25" a="1"/>
  <c r="AI2" i="25" s="1"/>
  <c r="M2" i="25" a="1"/>
  <c r="M2" i="25" s="1"/>
  <c r="K8" i="24" a="1"/>
  <c r="K8" i="24" s="1"/>
  <c r="U8" i="24" a="1"/>
  <c r="U8" i="24" s="1"/>
  <c r="AE8" i="24" a="1"/>
  <c r="AE8" i="24" s="1"/>
  <c r="H9" i="24" a="1"/>
  <c r="H9" i="24" s="1"/>
  <c r="R9" i="24" a="1"/>
  <c r="R9" i="24" s="1"/>
  <c r="AB9" i="24" a="1"/>
  <c r="AB9" i="24" s="1"/>
  <c r="E10" i="24" a="1"/>
  <c r="E10" i="24" s="1"/>
  <c r="O10" i="24" a="1"/>
  <c r="O10" i="24" s="1"/>
  <c r="Y10" i="24" a="1"/>
  <c r="Y10" i="24" s="1"/>
  <c r="AI10" i="24" a="1"/>
  <c r="AI10" i="24" s="1"/>
  <c r="L11" i="24" a="1"/>
  <c r="L11" i="24" s="1"/>
  <c r="V11" i="24" a="1"/>
  <c r="V11" i="24" s="1"/>
  <c r="AF11" i="24" a="1"/>
  <c r="AF11" i="24" s="1"/>
  <c r="I12" i="24" a="1"/>
  <c r="I12" i="24" s="1"/>
  <c r="S12" i="24" a="1"/>
  <c r="S12" i="24" s="1"/>
  <c r="AC12" i="24" a="1"/>
  <c r="AC12" i="24" s="1"/>
  <c r="F13" i="24" a="1"/>
  <c r="F13" i="24" s="1"/>
  <c r="P13" i="24" a="1"/>
  <c r="P13" i="24" s="1"/>
  <c r="Z13" i="24" a="1"/>
  <c r="Z13" i="24" s="1"/>
  <c r="AJ13" i="24" a="1"/>
  <c r="AJ13" i="24" s="1"/>
  <c r="G7" i="23" a="1"/>
  <c r="G7" i="23" s="1"/>
  <c r="Q7" i="23" a="1"/>
  <c r="Q7" i="23" s="1"/>
  <c r="AA7" i="23" a="1"/>
  <c r="AA7" i="23" s="1"/>
  <c r="AL7" i="23" a="1"/>
  <c r="AL7" i="23" s="1"/>
  <c r="N8" i="23" a="1"/>
  <c r="N8" i="23" s="1"/>
  <c r="X8" i="23" a="1"/>
  <c r="X8" i="23" s="1"/>
  <c r="AH8" i="23" a="1"/>
  <c r="AH8" i="23" s="1"/>
  <c r="K9" i="23" a="1"/>
  <c r="K9" i="23" s="1"/>
  <c r="U9" i="23" a="1"/>
  <c r="U9" i="23" s="1"/>
  <c r="AE9" i="23" a="1"/>
  <c r="AE9" i="23" s="1"/>
  <c r="H10" i="23" a="1"/>
  <c r="H10" i="23" s="1"/>
  <c r="R10" i="23" a="1"/>
  <c r="R10" i="23" s="1"/>
  <c r="AB10" i="23" a="1"/>
  <c r="AB10" i="23" s="1"/>
  <c r="E11" i="23" a="1"/>
  <c r="E11" i="23" s="1"/>
  <c r="O11" i="23" a="1"/>
  <c r="O11" i="23" s="1"/>
  <c r="Y11" i="23" a="1"/>
  <c r="Y11" i="23" s="1"/>
  <c r="AI11" i="23" a="1"/>
  <c r="AI11" i="23" s="1"/>
  <c r="H11" i="20" a="1"/>
  <c r="H11" i="20" s="1"/>
  <c r="R11" i="20" a="1"/>
  <c r="R11" i="20" s="1"/>
  <c r="AB11" i="20" a="1"/>
  <c r="AB11" i="20" s="1"/>
  <c r="F7" i="20" a="1"/>
  <c r="F7" i="20" s="1"/>
  <c r="P7" i="20" a="1"/>
  <c r="P7" i="20" s="1"/>
  <c r="Z7" i="20" a="1"/>
  <c r="Z7" i="20" s="1"/>
  <c r="AJ7" i="20" a="1"/>
  <c r="AJ7" i="20" s="1"/>
  <c r="N8" i="20" a="1"/>
  <c r="N8" i="20" s="1"/>
  <c r="X8" i="20" a="1"/>
  <c r="X8" i="20" s="1"/>
  <c r="AH8" i="20" a="1"/>
  <c r="AH8" i="20" s="1"/>
  <c r="L9" i="20" a="1"/>
  <c r="L9" i="20" s="1"/>
  <c r="V9" i="20" a="1"/>
  <c r="V9" i="20" s="1"/>
  <c r="AF9" i="20" a="1"/>
  <c r="AF9" i="20" s="1"/>
  <c r="J10" i="20" a="1"/>
  <c r="J10" i="20" s="1"/>
  <c r="T10" i="20" a="1"/>
  <c r="T10" i="20" s="1"/>
  <c r="H3" i="26" a="1"/>
  <c r="H3" i="26" s="1"/>
  <c r="R3" i="26" a="1"/>
  <c r="R3" i="26" s="1"/>
  <c r="AB3" i="26" a="1"/>
  <c r="AB3" i="26" s="1"/>
  <c r="F4" i="26" a="1"/>
  <c r="F4" i="26" s="1"/>
  <c r="P4" i="26" a="1"/>
  <c r="P4" i="26" s="1"/>
  <c r="Z4" i="26" a="1"/>
  <c r="Z4" i="26" s="1"/>
  <c r="N5" i="26" a="1"/>
  <c r="N5" i="26" s="1"/>
  <c r="X5" i="26" a="1"/>
  <c r="X5" i="26" s="1"/>
  <c r="AH5" i="26" a="1"/>
  <c r="AH5" i="26" s="1"/>
  <c r="L6" i="26" a="1"/>
  <c r="L6" i="26" s="1"/>
  <c r="V6" i="26" a="1"/>
  <c r="V6" i="26" s="1"/>
  <c r="AF6" i="26" a="1"/>
  <c r="AF6" i="26" s="1"/>
  <c r="J7" i="26" a="1"/>
  <c r="J7" i="26" s="1"/>
  <c r="T7" i="26" a="1"/>
  <c r="T7" i="26" s="1"/>
  <c r="AD7" i="26" a="1"/>
  <c r="AD7" i="26" s="1"/>
  <c r="P2" i="26" a="1"/>
  <c r="P2" i="26" s="1"/>
  <c r="Z2" i="26" a="1"/>
  <c r="Z2" i="26" s="1"/>
  <c r="AJ2" i="26" a="1"/>
  <c r="AJ2" i="26" s="1"/>
  <c r="H3" i="25" a="1"/>
  <c r="H3" i="25" s="1"/>
  <c r="R3" i="25" a="1"/>
  <c r="R3" i="25" s="1"/>
  <c r="AB3" i="25" a="1"/>
  <c r="AB3" i="25" s="1"/>
  <c r="E4" i="25" a="1"/>
  <c r="E4" i="25" s="1"/>
  <c r="O4" i="25" a="1"/>
  <c r="O4" i="25" s="1"/>
  <c r="Y4" i="25" a="1"/>
  <c r="Y4" i="25" s="1"/>
  <c r="AI4" i="25" a="1"/>
  <c r="AI4" i="25" s="1"/>
  <c r="L5" i="25" a="1"/>
  <c r="L5" i="25" s="1"/>
  <c r="V5" i="25" a="1"/>
  <c r="V5" i="25" s="1"/>
  <c r="AF5" i="25" a="1"/>
  <c r="AF5" i="25" s="1"/>
  <c r="Z2" i="25" a="1"/>
  <c r="Z2" i="25" s="1"/>
  <c r="AJ2" i="25" a="1"/>
  <c r="AJ2" i="25" s="1"/>
  <c r="N2" i="25" a="1"/>
  <c r="N2" i="25" s="1"/>
  <c r="L8" i="24" a="1"/>
  <c r="L8" i="24" s="1"/>
  <c r="V8" i="24" a="1"/>
  <c r="V8" i="24" s="1"/>
  <c r="AF8" i="24" a="1"/>
  <c r="AF8" i="24" s="1"/>
  <c r="I9" i="24" a="1"/>
  <c r="I9" i="24" s="1"/>
  <c r="S9" i="24" a="1"/>
  <c r="S9" i="24" s="1"/>
  <c r="AC9" i="24" a="1"/>
  <c r="AC9" i="24" s="1"/>
  <c r="F10" i="24" a="1"/>
  <c r="F10" i="24" s="1"/>
  <c r="P10" i="24" a="1"/>
  <c r="P10" i="24" s="1"/>
  <c r="Z10" i="24" a="1"/>
  <c r="Z10" i="24" s="1"/>
  <c r="AJ10" i="24" a="1"/>
  <c r="AJ10" i="24" s="1"/>
  <c r="M11" i="24" a="1"/>
  <c r="M11" i="24" s="1"/>
  <c r="W11" i="24" a="1"/>
  <c r="W11" i="24" s="1"/>
  <c r="AG11" i="24" a="1"/>
  <c r="AG11" i="24" s="1"/>
  <c r="J12" i="24" a="1"/>
  <c r="J12" i="24" s="1"/>
  <c r="T12" i="24" a="1"/>
  <c r="T12" i="24" s="1"/>
  <c r="AD12" i="24" a="1"/>
  <c r="AD12" i="24" s="1"/>
  <c r="G13" i="24" a="1"/>
  <c r="G13" i="24" s="1"/>
  <c r="Q13" i="24" a="1"/>
  <c r="Q13" i="24" s="1"/>
  <c r="AA13" i="24" a="1"/>
  <c r="AA13" i="24" s="1"/>
  <c r="AL13" i="24" a="1"/>
  <c r="AL13" i="24" s="1"/>
  <c r="H7" i="23" a="1"/>
  <c r="H7" i="23" s="1"/>
  <c r="R7" i="23" a="1"/>
  <c r="R7" i="23" s="1"/>
  <c r="AB7" i="23" a="1"/>
  <c r="AB7" i="23" s="1"/>
  <c r="E8" i="23" a="1"/>
  <c r="E8" i="23" s="1"/>
  <c r="O8" i="23" a="1"/>
  <c r="O8" i="23" s="1"/>
  <c r="Y8" i="23" a="1"/>
  <c r="Y8" i="23" s="1"/>
  <c r="AI8" i="23" a="1"/>
  <c r="AI8" i="23" s="1"/>
  <c r="L9" i="23" a="1"/>
  <c r="L9" i="23" s="1"/>
  <c r="V9" i="23" a="1"/>
  <c r="V9" i="23" s="1"/>
  <c r="AF9" i="23" a="1"/>
  <c r="AF9" i="23" s="1"/>
  <c r="I10" i="23" a="1"/>
  <c r="I10" i="23" s="1"/>
  <c r="S10" i="23" a="1"/>
  <c r="S10" i="23" s="1"/>
  <c r="AC10" i="23" a="1"/>
  <c r="AC10" i="23" s="1"/>
  <c r="F11" i="23" a="1"/>
  <c r="F11" i="23" s="1"/>
  <c r="P11" i="23" a="1"/>
  <c r="P11" i="23" s="1"/>
  <c r="Z11" i="23" a="1"/>
  <c r="Z11" i="23" s="1"/>
  <c r="AJ11" i="23" a="1"/>
  <c r="AJ11" i="23" s="1"/>
  <c r="I11" i="20" a="1"/>
  <c r="I11" i="20" s="1"/>
  <c r="S11" i="20" a="1"/>
  <c r="S11" i="20" s="1"/>
  <c r="AC11" i="20" a="1"/>
  <c r="AC11" i="20" s="1"/>
  <c r="G7" i="20" a="1"/>
  <c r="G7" i="20" s="1"/>
  <c r="Q7" i="20" a="1"/>
  <c r="Q7" i="20" s="1"/>
  <c r="AA7" i="20" a="1"/>
  <c r="AA7" i="20" s="1"/>
  <c r="AL7" i="20" a="1"/>
  <c r="AL7" i="20" s="1"/>
  <c r="O8" i="20" a="1"/>
  <c r="O8" i="20" s="1"/>
  <c r="Y8" i="20" a="1"/>
  <c r="Y8" i="20" s="1"/>
  <c r="AI8" i="20" a="1"/>
  <c r="AI8" i="20" s="1"/>
  <c r="M9" i="20" a="1"/>
  <c r="M9" i="20" s="1"/>
  <c r="W9" i="20" a="1"/>
  <c r="W9" i="20" s="1"/>
  <c r="AG9" i="20" a="1"/>
  <c r="AG9" i="20" s="1"/>
  <c r="I3" i="19" a="1"/>
  <c r="I3" i="19" s="1"/>
  <c r="I3" i="26" a="1"/>
  <c r="I3" i="26" s="1"/>
  <c r="S3" i="26" a="1"/>
  <c r="S3" i="26" s="1"/>
  <c r="AC3" i="26" a="1"/>
  <c r="AC3" i="26" s="1"/>
  <c r="G4" i="26" a="1"/>
  <c r="G4" i="26" s="1"/>
  <c r="Q4" i="26" a="1"/>
  <c r="Q4" i="26" s="1"/>
  <c r="AA4" i="26" a="1"/>
  <c r="AA4" i="26" s="1"/>
  <c r="AL4" i="26" a="1"/>
  <c r="AL4" i="26" s="1"/>
  <c r="O5" i="26" a="1"/>
  <c r="O5" i="26" s="1"/>
  <c r="Y5" i="26" a="1"/>
  <c r="Y5" i="26" s="1"/>
  <c r="AI5" i="26" a="1"/>
  <c r="AI5" i="26" s="1"/>
  <c r="M6" i="26" a="1"/>
  <c r="M6" i="26" s="1"/>
  <c r="W6" i="26" a="1"/>
  <c r="W6" i="26" s="1"/>
  <c r="AG6" i="26" a="1"/>
  <c r="AG6" i="26" s="1"/>
  <c r="K7" i="26" a="1"/>
  <c r="K7" i="26" s="1"/>
  <c r="U7" i="26" a="1"/>
  <c r="U7" i="26" s="1"/>
  <c r="AE7" i="26" a="1"/>
  <c r="AE7" i="26" s="1"/>
  <c r="Q2" i="26" a="1"/>
  <c r="Q2" i="26" s="1"/>
  <c r="AA2" i="26" a="1"/>
  <c r="AA2" i="26" s="1"/>
  <c r="AL2" i="26" a="1"/>
  <c r="AL2" i="26" s="1"/>
  <c r="I3" i="25" a="1"/>
  <c r="I3" i="25" s="1"/>
  <c r="S3" i="25" a="1"/>
  <c r="S3" i="25" s="1"/>
  <c r="AC3" i="25" a="1"/>
  <c r="AC3" i="25" s="1"/>
  <c r="F4" i="25" a="1"/>
  <c r="F4" i="25" s="1"/>
  <c r="P4" i="25" a="1"/>
  <c r="P4" i="25" s="1"/>
  <c r="Z4" i="25" a="1"/>
  <c r="Z4" i="25" s="1"/>
  <c r="AJ4" i="25" a="1"/>
  <c r="AJ4" i="25" s="1"/>
  <c r="M5" i="25" a="1"/>
  <c r="M5" i="25" s="1"/>
  <c r="W5" i="25" a="1"/>
  <c r="W5" i="25" s="1"/>
  <c r="AG5" i="25" a="1"/>
  <c r="AG5" i="25" s="1"/>
  <c r="AA2" i="25" a="1"/>
  <c r="AA2" i="25" s="1"/>
  <c r="AL2" i="25" a="1"/>
  <c r="AL2" i="25" s="1"/>
  <c r="O2" i="25" a="1"/>
  <c r="O2" i="25" s="1"/>
  <c r="E2" i="25" a="1"/>
  <c r="E2" i="25" s="1"/>
  <c r="M8" i="24" a="1"/>
  <c r="M8" i="24" s="1"/>
  <c r="W8" i="24" a="1"/>
  <c r="W8" i="24" s="1"/>
  <c r="AG8" i="24" a="1"/>
  <c r="AG8" i="24" s="1"/>
  <c r="J9" i="24" a="1"/>
  <c r="J9" i="24" s="1"/>
  <c r="T9" i="24" a="1"/>
  <c r="T9" i="24" s="1"/>
  <c r="AD9" i="24" a="1"/>
  <c r="AD9" i="24" s="1"/>
  <c r="G10" i="24" a="1"/>
  <c r="G10" i="24" s="1"/>
  <c r="Q10" i="24" a="1"/>
  <c r="Q10" i="24" s="1"/>
  <c r="AA10" i="24" a="1"/>
  <c r="AA10" i="24" s="1"/>
  <c r="AL10" i="24" a="1"/>
  <c r="AL10" i="24" s="1"/>
  <c r="N11" i="24" a="1"/>
  <c r="N11" i="24" s="1"/>
  <c r="X11" i="24" a="1"/>
  <c r="X11" i="24" s="1"/>
  <c r="AH11" i="24" a="1"/>
  <c r="AH11" i="24" s="1"/>
  <c r="K12" i="24" a="1"/>
  <c r="K12" i="24" s="1"/>
  <c r="U12" i="24" a="1"/>
  <c r="U12" i="24" s="1"/>
  <c r="AE12" i="24" a="1"/>
  <c r="AE12" i="24" s="1"/>
  <c r="H13" i="24" a="1"/>
  <c r="H13" i="24" s="1"/>
  <c r="R13" i="24" a="1"/>
  <c r="R13" i="24" s="1"/>
  <c r="AB13" i="24" a="1"/>
  <c r="AB13" i="24" s="1"/>
  <c r="I7" i="23" a="1"/>
  <c r="I7" i="23" s="1"/>
  <c r="S7" i="23" a="1"/>
  <c r="S7" i="23" s="1"/>
  <c r="AC7" i="23" a="1"/>
  <c r="AC7" i="23" s="1"/>
  <c r="F8" i="23" a="1"/>
  <c r="F8" i="23" s="1"/>
  <c r="P8" i="23" a="1"/>
  <c r="P8" i="23" s="1"/>
  <c r="Z8" i="23" a="1"/>
  <c r="Z8" i="23" s="1"/>
  <c r="AJ8" i="23" a="1"/>
  <c r="AJ8" i="23" s="1"/>
  <c r="M9" i="23" a="1"/>
  <c r="M9" i="23" s="1"/>
  <c r="W9" i="23" a="1"/>
  <c r="W9" i="23" s="1"/>
  <c r="AG9" i="23" a="1"/>
  <c r="AG9" i="23" s="1"/>
  <c r="J10" i="23" a="1"/>
  <c r="J10" i="23" s="1"/>
  <c r="T10" i="23" a="1"/>
  <c r="T10" i="23" s="1"/>
  <c r="AD10" i="23" a="1"/>
  <c r="AD10" i="23" s="1"/>
  <c r="G11" i="23" a="1"/>
  <c r="G11" i="23" s="1"/>
  <c r="Q11" i="23" a="1"/>
  <c r="Q11" i="23" s="1"/>
  <c r="AA11" i="23" a="1"/>
  <c r="AA11" i="23" s="1"/>
  <c r="AL11" i="23" a="1"/>
  <c r="AL11" i="23" s="1"/>
  <c r="J11" i="20" a="1"/>
  <c r="J11" i="20" s="1"/>
  <c r="T11" i="20" a="1"/>
  <c r="T11" i="20" s="1"/>
  <c r="AD11" i="20" a="1"/>
  <c r="AD11" i="20" s="1"/>
  <c r="H7" i="20" a="1"/>
  <c r="H7" i="20" s="1"/>
  <c r="R7" i="20" a="1"/>
  <c r="R7" i="20" s="1"/>
  <c r="AB7" i="20" a="1"/>
  <c r="AB7" i="20" s="1"/>
  <c r="F8" i="20" a="1"/>
  <c r="F8" i="20" s="1"/>
  <c r="P8" i="20" a="1"/>
  <c r="P8" i="20" s="1"/>
  <c r="Z8" i="20" a="1"/>
  <c r="Z8" i="20" s="1"/>
  <c r="AJ8" i="20" a="1"/>
  <c r="AJ8" i="20" s="1"/>
  <c r="N9" i="20" a="1"/>
  <c r="N9" i="20" s="1"/>
  <c r="X9" i="20" a="1"/>
  <c r="X9" i="20" s="1"/>
  <c r="I4" i="19" a="1"/>
  <c r="I4" i="19" s="1"/>
  <c r="AJ6" i="28" a="1"/>
  <c r="AJ6" i="28" s="1"/>
  <c r="J3" i="26" a="1"/>
  <c r="J3" i="26" s="1"/>
  <c r="T3" i="26" a="1"/>
  <c r="T3" i="26" s="1"/>
  <c r="AD3" i="26" a="1"/>
  <c r="AD3" i="26" s="1"/>
  <c r="H4" i="26" a="1"/>
  <c r="H4" i="26" s="1"/>
  <c r="R4" i="26" a="1"/>
  <c r="R4" i="26" s="1"/>
  <c r="AB4" i="26" a="1"/>
  <c r="AB4" i="26" s="1"/>
  <c r="F5" i="26" a="1"/>
  <c r="F5" i="26" s="1"/>
  <c r="P5" i="26" a="1"/>
  <c r="P5" i="26" s="1"/>
  <c r="I5" i="19" a="1"/>
  <c r="I5" i="19" s="1"/>
  <c r="E4" i="26" a="1"/>
  <c r="E4" i="26" s="1"/>
  <c r="K3" i="26" a="1"/>
  <c r="K3" i="26" s="1"/>
  <c r="U3" i="26" a="1"/>
  <c r="U3" i="26" s="1"/>
  <c r="AE3" i="26" a="1"/>
  <c r="AE3" i="26" s="1"/>
  <c r="I4" i="26" a="1"/>
  <c r="I4" i="26" s="1"/>
  <c r="S4" i="26" a="1"/>
  <c r="S4" i="26" s="1"/>
  <c r="AC4" i="26" a="1"/>
  <c r="AC4" i="26" s="1"/>
  <c r="G5" i="26" a="1"/>
  <c r="G5" i="26" s="1"/>
  <c r="Q5" i="26" a="1"/>
  <c r="Q5" i="26" s="1"/>
  <c r="AA5" i="26" a="1"/>
  <c r="AA5" i="26" s="1"/>
  <c r="AL5" i="26" a="1"/>
  <c r="AL5" i="26" s="1"/>
  <c r="O6" i="26" a="1"/>
  <c r="O6" i="26" s="1"/>
  <c r="Y6" i="26" a="1"/>
  <c r="Y6" i="26" s="1"/>
  <c r="AI6" i="26" a="1"/>
  <c r="AI6" i="26" s="1"/>
  <c r="M7" i="26" a="1"/>
  <c r="M7" i="26" s="1"/>
  <c r="W7" i="26" a="1"/>
  <c r="W7" i="26" s="1"/>
  <c r="AG7" i="26" a="1"/>
  <c r="AG7" i="26" s="1"/>
  <c r="S2" i="26" a="1"/>
  <c r="S2" i="26" s="1"/>
  <c r="AC2" i="26" a="1"/>
  <c r="AC2" i="26" s="1"/>
  <c r="G2" i="26" a="1"/>
  <c r="G2" i="26" s="1"/>
  <c r="K3" i="25" a="1"/>
  <c r="K3" i="25" s="1"/>
  <c r="U3" i="25" a="1"/>
  <c r="U3" i="25" s="1"/>
  <c r="AE3" i="25" a="1"/>
  <c r="AE3" i="25" s="1"/>
  <c r="H4" i="25" a="1"/>
  <c r="H4" i="25" s="1"/>
  <c r="R4" i="25" a="1"/>
  <c r="R4" i="25" s="1"/>
  <c r="AB4" i="25" a="1"/>
  <c r="AB4" i="25" s="1"/>
  <c r="E5" i="25" a="1"/>
  <c r="E5" i="25" s="1"/>
  <c r="O5" i="25" a="1"/>
  <c r="O5" i="25" s="1"/>
  <c r="Y5" i="25" a="1"/>
  <c r="Y5" i="25" s="1"/>
  <c r="AI5" i="25" a="1"/>
  <c r="AI5" i="25" s="1"/>
  <c r="AC2" i="25" a="1"/>
  <c r="AC2" i="25" s="1"/>
  <c r="G2" i="25" a="1"/>
  <c r="G2" i="25" s="1"/>
  <c r="Q2" i="25" a="1"/>
  <c r="Q2" i="25" s="1"/>
  <c r="E8" i="24" a="1"/>
  <c r="E8" i="24" s="1"/>
  <c r="O8" i="24" a="1"/>
  <c r="O8" i="24" s="1"/>
  <c r="Y8" i="24" a="1"/>
  <c r="Y8" i="24" s="1"/>
  <c r="AI8" i="24" a="1"/>
  <c r="AI8" i="24" s="1"/>
  <c r="L9" i="24" a="1"/>
  <c r="L9" i="24" s="1"/>
  <c r="V9" i="24" a="1"/>
  <c r="V9" i="24" s="1"/>
  <c r="AF9" i="24" a="1"/>
  <c r="AF9" i="24" s="1"/>
  <c r="I10" i="24" a="1"/>
  <c r="I10" i="24" s="1"/>
  <c r="S10" i="24" a="1"/>
  <c r="S10" i="24" s="1"/>
  <c r="AC10" i="24" a="1"/>
  <c r="AC10" i="24" s="1"/>
  <c r="F11" i="24" a="1"/>
  <c r="F11" i="24" s="1"/>
  <c r="P11" i="24" a="1"/>
  <c r="P11" i="24" s="1"/>
  <c r="Z11" i="24" a="1"/>
  <c r="Z11" i="24" s="1"/>
  <c r="AJ11" i="24" a="1"/>
  <c r="AJ11" i="24" s="1"/>
  <c r="M12" i="24" a="1"/>
  <c r="M12" i="24" s="1"/>
  <c r="W12" i="24" a="1"/>
  <c r="W12" i="24" s="1"/>
  <c r="AG12" i="24" a="1"/>
  <c r="AG12" i="24" s="1"/>
  <c r="J13" i="24" a="1"/>
  <c r="J13" i="24" s="1"/>
  <c r="T13" i="24" a="1"/>
  <c r="T13" i="24" s="1"/>
  <c r="AD13" i="24" a="1"/>
  <c r="AD13" i="24" s="1"/>
  <c r="K7" i="23" a="1"/>
  <c r="K7" i="23" s="1"/>
  <c r="I6" i="19" a="1"/>
  <c r="I6" i="19" s="1"/>
  <c r="E5" i="26" a="1"/>
  <c r="E5" i="26" s="1"/>
  <c r="L3" i="26" a="1"/>
  <c r="L3" i="26" s="1"/>
  <c r="V3" i="26" a="1"/>
  <c r="V3" i="26" s="1"/>
  <c r="AF3" i="26" a="1"/>
  <c r="AF3" i="26" s="1"/>
  <c r="J4" i="26" a="1"/>
  <c r="J4" i="26" s="1"/>
  <c r="T4" i="26" a="1"/>
  <c r="T4" i="26" s="1"/>
  <c r="AD4" i="26" a="1"/>
  <c r="AD4" i="26" s="1"/>
  <c r="H5" i="26" a="1"/>
  <c r="H5" i="26" s="1"/>
  <c r="R5" i="26" a="1"/>
  <c r="R5" i="26" s="1"/>
  <c r="AB5" i="26" a="1"/>
  <c r="AB5" i="26" s="1"/>
  <c r="F6" i="26" a="1"/>
  <c r="F6" i="26" s="1"/>
  <c r="P6" i="26" a="1"/>
  <c r="P6" i="26" s="1"/>
  <c r="Z6" i="26" a="1"/>
  <c r="Z6" i="26" s="1"/>
  <c r="N7" i="26" a="1"/>
  <c r="N7" i="26" s="1"/>
  <c r="X7" i="26" a="1"/>
  <c r="X7" i="26" s="1"/>
  <c r="AH7" i="26" a="1"/>
  <c r="AH7" i="26" s="1"/>
  <c r="T2" i="26" a="1"/>
  <c r="T2" i="26" s="1"/>
  <c r="AD2" i="26" a="1"/>
  <c r="AD2" i="26" s="1"/>
  <c r="H2" i="26" a="1"/>
  <c r="H2" i="26" s="1"/>
  <c r="L3" i="25" a="1"/>
  <c r="L3" i="25" s="1"/>
  <c r="V3" i="25" a="1"/>
  <c r="V3" i="25" s="1"/>
  <c r="AF3" i="25" a="1"/>
  <c r="AF3" i="25" s="1"/>
  <c r="I4" i="25" a="1"/>
  <c r="I4" i="25" s="1"/>
  <c r="S4" i="25" a="1"/>
  <c r="S4" i="25" s="1"/>
  <c r="AC4" i="25" a="1"/>
  <c r="AC4" i="25" s="1"/>
  <c r="F5" i="25" a="1"/>
  <c r="F5" i="25" s="1"/>
  <c r="P5" i="25" a="1"/>
  <c r="P5" i="25" s="1"/>
  <c r="Z5" i="25" a="1"/>
  <c r="Z5" i="25" s="1"/>
  <c r="AJ5" i="25" a="1"/>
  <c r="AJ5" i="25" s="1"/>
  <c r="AD2" i="25" a="1"/>
  <c r="AD2" i="25" s="1"/>
  <c r="H2" i="25" a="1"/>
  <c r="H2" i="25" s="1"/>
  <c r="R2" i="25" a="1"/>
  <c r="R2" i="25" s="1"/>
  <c r="F8" i="24" a="1"/>
  <c r="F8" i="24" s="1"/>
  <c r="P8" i="24" a="1"/>
  <c r="P8" i="24" s="1"/>
  <c r="Z8" i="24" a="1"/>
  <c r="Z8" i="24" s="1"/>
  <c r="AJ8" i="24" a="1"/>
  <c r="AJ8" i="24" s="1"/>
  <c r="M9" i="24" a="1"/>
  <c r="M9" i="24" s="1"/>
  <c r="W9" i="24" a="1"/>
  <c r="W9" i="24" s="1"/>
  <c r="AG9" i="24" a="1"/>
  <c r="AG9" i="24" s="1"/>
  <c r="J10" i="24" a="1"/>
  <c r="J10" i="24" s="1"/>
  <c r="T10" i="24" a="1"/>
  <c r="T10" i="24" s="1"/>
  <c r="AD10" i="24" a="1"/>
  <c r="AD10" i="24" s="1"/>
  <c r="G11" i="24" a="1"/>
  <c r="G11" i="24" s="1"/>
  <c r="Q11" i="24" a="1"/>
  <c r="Q11" i="24" s="1"/>
  <c r="AA11" i="24" a="1"/>
  <c r="AA11" i="24" s="1"/>
  <c r="AL11" i="24" a="1"/>
  <c r="AL11" i="24" s="1"/>
  <c r="N12" i="24" a="1"/>
  <c r="N12" i="24" s="1"/>
  <c r="X12" i="24" a="1"/>
  <c r="X12" i="24" s="1"/>
  <c r="AH12" i="24" a="1"/>
  <c r="AH12" i="24" s="1"/>
  <c r="K13" i="24" a="1"/>
  <c r="K13" i="24" s="1"/>
  <c r="U13" i="24" a="1"/>
  <c r="U13" i="24" s="1"/>
  <c r="AE13" i="24" a="1"/>
  <c r="AE13" i="24" s="1"/>
  <c r="L7" i="23" a="1"/>
  <c r="L7" i="23" s="1"/>
  <c r="I7" i="19" a="1"/>
  <c r="I7" i="19" s="1"/>
  <c r="E6" i="26" a="1"/>
  <c r="E6" i="26" s="1"/>
  <c r="M3" i="26" a="1"/>
  <c r="M3" i="26" s="1"/>
  <c r="W3" i="26" a="1"/>
  <c r="W3" i="26" s="1"/>
  <c r="AG3" i="26" a="1"/>
  <c r="AG3" i="26" s="1"/>
  <c r="K4" i="26" a="1"/>
  <c r="K4" i="26" s="1"/>
  <c r="U4" i="26" a="1"/>
  <c r="U4" i="26" s="1"/>
  <c r="AE4" i="26" a="1"/>
  <c r="AE4" i="26" s="1"/>
  <c r="I5" i="26" a="1"/>
  <c r="I5" i="26" s="1"/>
  <c r="S5" i="26" a="1"/>
  <c r="S5" i="26" s="1"/>
  <c r="AC5" i="26" a="1"/>
  <c r="AC5" i="26" s="1"/>
  <c r="G6" i="26" a="1"/>
  <c r="G6" i="26" s="1"/>
  <c r="Q6" i="26" a="1"/>
  <c r="Q6" i="26" s="1"/>
  <c r="AA6" i="26" a="1"/>
  <c r="AA6" i="26" s="1"/>
  <c r="AL6" i="26" a="1"/>
  <c r="AL6" i="26" s="1"/>
  <c r="O7" i="26" a="1"/>
  <c r="O7" i="26" s="1"/>
  <c r="Y7" i="26" a="1"/>
  <c r="Y7" i="26" s="1"/>
  <c r="AI7" i="26" a="1"/>
  <c r="AI7" i="26" s="1"/>
  <c r="U2" i="26" a="1"/>
  <c r="U2" i="26" s="1"/>
  <c r="AE2" i="26" a="1"/>
  <c r="AE2" i="26" s="1"/>
  <c r="I2" i="26" a="1"/>
  <c r="I2" i="26" s="1"/>
  <c r="E2" i="26" a="1"/>
  <c r="E2" i="26" s="1"/>
  <c r="M3" i="25" a="1"/>
  <c r="M3" i="25" s="1"/>
  <c r="W3" i="25" a="1"/>
  <c r="W3" i="25" s="1"/>
  <c r="AG3" i="25" a="1"/>
  <c r="AG3" i="25" s="1"/>
  <c r="J4" i="25" a="1"/>
  <c r="J4" i="25" s="1"/>
  <c r="T4" i="25" a="1"/>
  <c r="T4" i="25" s="1"/>
  <c r="AD4" i="25" a="1"/>
  <c r="AD4" i="25" s="1"/>
  <c r="G5" i="25" a="1"/>
  <c r="G5" i="25" s="1"/>
  <c r="Q5" i="25" a="1"/>
  <c r="Q5" i="25" s="1"/>
  <c r="AA5" i="25" a="1"/>
  <c r="AA5" i="25" s="1"/>
  <c r="AL5" i="25" a="1"/>
  <c r="AL5" i="25" s="1"/>
  <c r="AE2" i="25" a="1"/>
  <c r="AE2" i="25" s="1"/>
  <c r="I2" i="25" a="1"/>
  <c r="I2" i="25" s="1"/>
  <c r="S2" i="25" a="1"/>
  <c r="S2" i="25" s="1"/>
  <c r="G8" i="24" a="1"/>
  <c r="G8" i="24" s="1"/>
  <c r="Q8" i="24" a="1"/>
  <c r="Q8" i="24" s="1"/>
  <c r="AA8" i="24" a="1"/>
  <c r="AA8" i="24" s="1"/>
  <c r="AL8" i="24" a="1"/>
  <c r="AL8" i="24" s="1"/>
  <c r="N9" i="24" a="1"/>
  <c r="N9" i="24" s="1"/>
  <c r="X9" i="24" a="1"/>
  <c r="X9" i="24" s="1"/>
  <c r="AH9" i="24" a="1"/>
  <c r="AH9" i="24" s="1"/>
  <c r="K10" i="24" a="1"/>
  <c r="K10" i="24" s="1"/>
  <c r="U10" i="24" a="1"/>
  <c r="U10" i="24" s="1"/>
  <c r="AE10" i="24" a="1"/>
  <c r="AE10" i="24" s="1"/>
  <c r="H11" i="24" a="1"/>
  <c r="H11" i="24" s="1"/>
  <c r="R11" i="24" a="1"/>
  <c r="R11" i="24" s="1"/>
  <c r="AB11" i="24" a="1"/>
  <c r="AB11" i="24" s="1"/>
  <c r="E12" i="24" a="1"/>
  <c r="E12" i="24" s="1"/>
  <c r="O12" i="24" a="1"/>
  <c r="O12" i="24" s="1"/>
  <c r="Y12" i="24" a="1"/>
  <c r="Y12" i="24" s="1"/>
  <c r="AI12" i="24" a="1"/>
  <c r="AI12" i="24" s="1"/>
  <c r="L13" i="24" a="1"/>
  <c r="L13" i="24" s="1"/>
  <c r="V13" i="24" a="1"/>
  <c r="V13" i="24" s="1"/>
  <c r="AF13" i="24" a="1"/>
  <c r="AF13" i="24" s="1"/>
  <c r="E3" i="26" a="1"/>
  <c r="E3" i="26" s="1"/>
  <c r="O3" i="26" a="1"/>
  <c r="O3" i="26" s="1"/>
  <c r="Y3" i="26" a="1"/>
  <c r="Y3" i="26" s="1"/>
  <c r="AI3" i="26" a="1"/>
  <c r="AI3" i="26" s="1"/>
  <c r="M4" i="26" a="1"/>
  <c r="M4" i="26" s="1"/>
  <c r="W4" i="26" a="1"/>
  <c r="W4" i="26" s="1"/>
  <c r="AG4" i="26" a="1"/>
  <c r="AG4" i="26" s="1"/>
  <c r="K5" i="26" a="1"/>
  <c r="K5" i="26" s="1"/>
  <c r="U5" i="26" a="1"/>
  <c r="U5" i="26" s="1"/>
  <c r="AE5" i="26" a="1"/>
  <c r="AE5" i="26" s="1"/>
  <c r="I6" i="26" a="1"/>
  <c r="I6" i="26" s="1"/>
  <c r="S6" i="26" a="1"/>
  <c r="S6" i="26" s="1"/>
  <c r="AC6" i="26" a="1"/>
  <c r="AC6" i="26" s="1"/>
  <c r="G7" i="26" a="1"/>
  <c r="G7" i="26" s="1"/>
  <c r="Q7" i="26" a="1"/>
  <c r="Q7" i="26" s="1"/>
  <c r="AA7" i="26" a="1"/>
  <c r="AA7" i="26" s="1"/>
  <c r="AL7" i="26" a="1"/>
  <c r="AL7" i="26" s="1"/>
  <c r="W2" i="26" a="1"/>
  <c r="W2" i="26" s="1"/>
  <c r="AG2" i="26" a="1"/>
  <c r="AG2" i="26" s="1"/>
  <c r="K2" i="26" a="1"/>
  <c r="K2" i="26" s="1"/>
  <c r="E3" i="25" a="1"/>
  <c r="E3" i="25" s="1"/>
  <c r="O3" i="25" a="1"/>
  <c r="O3" i="25" s="1"/>
  <c r="Y3" i="25" a="1"/>
  <c r="Y3" i="25" s="1"/>
  <c r="AI3" i="25" a="1"/>
  <c r="AI3" i="25" s="1"/>
  <c r="L4" i="25" a="1"/>
  <c r="L4" i="25" s="1"/>
  <c r="V4" i="25" a="1"/>
  <c r="V4" i="25" s="1"/>
  <c r="AF4" i="25" a="1"/>
  <c r="AF4" i="25" s="1"/>
  <c r="I5" i="25" a="1"/>
  <c r="I5" i="25" s="1"/>
  <c r="S5" i="25" a="1"/>
  <c r="S5" i="25" s="1"/>
  <c r="AC5" i="25" a="1"/>
  <c r="AC5" i="25" s="1"/>
  <c r="W2" i="25" a="1"/>
  <c r="W2" i="25" s="1"/>
  <c r="AG2" i="25" a="1"/>
  <c r="AG2" i="25" s="1"/>
  <c r="K2" i="25" a="1"/>
  <c r="K2" i="25" s="1"/>
  <c r="U2" i="25" a="1"/>
  <c r="U2" i="25" s="1"/>
  <c r="I8" i="24" a="1"/>
  <c r="I8" i="24" s="1"/>
  <c r="S8" i="24" a="1"/>
  <c r="S8" i="24" s="1"/>
  <c r="AC8" i="24" a="1"/>
  <c r="AC8" i="24" s="1"/>
  <c r="F9" i="24" a="1"/>
  <c r="F9" i="24" s="1"/>
  <c r="P9" i="24" a="1"/>
  <c r="P9" i="24" s="1"/>
  <c r="Z9" i="24" a="1"/>
  <c r="Z9" i="24" s="1"/>
  <c r="AJ9" i="24" a="1"/>
  <c r="AJ9" i="24" s="1"/>
  <c r="M10" i="24" a="1"/>
  <c r="M10" i="24" s="1"/>
  <c r="W10" i="24" a="1"/>
  <c r="W10" i="24" s="1"/>
  <c r="AG10" i="24" a="1"/>
  <c r="AG10" i="24" s="1"/>
  <c r="J11" i="24" a="1"/>
  <c r="J11" i="24" s="1"/>
  <c r="T11" i="24" a="1"/>
  <c r="T11" i="24" s="1"/>
  <c r="AD11" i="24" a="1"/>
  <c r="AD11" i="24" s="1"/>
  <c r="G12" i="24" a="1"/>
  <c r="G12" i="24" s="1"/>
  <c r="Q12" i="24" a="1"/>
  <c r="Q12" i="24" s="1"/>
  <c r="AA12" i="24" a="1"/>
  <c r="AA12" i="24" s="1"/>
  <c r="AL12" i="24" a="1"/>
  <c r="AL12" i="24" s="1"/>
  <c r="N13" i="24" a="1"/>
  <c r="N13" i="24" s="1"/>
  <c r="X13" i="24" a="1"/>
  <c r="X13" i="24" s="1"/>
  <c r="AH13" i="24" a="1"/>
  <c r="AH13" i="24" s="1"/>
  <c r="E7" i="23" a="1"/>
  <c r="E7" i="23" s="1"/>
  <c r="O7" i="23" a="1"/>
  <c r="O7" i="23" s="1"/>
  <c r="Y7" i="23" a="1"/>
  <c r="Y7" i="23" s="1"/>
  <c r="AI7" i="23" a="1"/>
  <c r="AI7" i="23" s="1"/>
  <c r="L8" i="23" a="1"/>
  <c r="L8" i="23" s="1"/>
  <c r="V8" i="23" a="1"/>
  <c r="V8" i="23" s="1"/>
  <c r="AF8" i="23" a="1"/>
  <c r="AF8" i="23" s="1"/>
  <c r="I9" i="23" a="1"/>
  <c r="I9" i="23" s="1"/>
  <c r="S9" i="23" a="1"/>
  <c r="S9" i="23" s="1"/>
  <c r="AC9" i="23" a="1"/>
  <c r="AC9" i="23" s="1"/>
  <c r="F10" i="23" a="1"/>
  <c r="F10" i="23" s="1"/>
  <c r="P10" i="23" a="1"/>
  <c r="P10" i="23" s="1"/>
  <c r="Z10" i="23" a="1"/>
  <c r="Z10" i="23" s="1"/>
  <c r="AJ10" i="23" a="1"/>
  <c r="AJ10" i="23" s="1"/>
  <c r="M11" i="23" a="1"/>
  <c r="M11" i="23" s="1"/>
  <c r="W11" i="23" a="1"/>
  <c r="W11" i="23" s="1"/>
  <c r="AG11" i="23" a="1"/>
  <c r="AG11" i="23" s="1"/>
  <c r="F11" i="20" a="1"/>
  <c r="F11" i="20" s="1"/>
  <c r="P11" i="20" a="1"/>
  <c r="P11" i="20" s="1"/>
  <c r="Z11" i="20" a="1"/>
  <c r="Z11" i="20" s="1"/>
  <c r="AJ11" i="20" a="1"/>
  <c r="AJ11" i="20" s="1"/>
  <c r="N7" i="20" a="1"/>
  <c r="N7" i="20" s="1"/>
  <c r="X7" i="20" a="1"/>
  <c r="X7" i="20" s="1"/>
  <c r="AH7" i="20" a="1"/>
  <c r="AH7" i="20" s="1"/>
  <c r="L8" i="20" a="1"/>
  <c r="L8" i="20" s="1"/>
  <c r="V8" i="20" a="1"/>
  <c r="V8" i="20" s="1"/>
  <c r="AF8" i="20" a="1"/>
  <c r="AF8" i="20" s="1"/>
  <c r="J9" i="20" a="1"/>
  <c r="J9" i="20" s="1"/>
  <c r="T9" i="20" a="1"/>
  <c r="T9" i="20" s="1"/>
  <c r="AD9" i="20" a="1"/>
  <c r="AD9" i="20" s="1"/>
  <c r="F3" i="26" a="1"/>
  <c r="F3" i="26" s="1"/>
  <c r="P3" i="26" a="1"/>
  <c r="P3" i="26" s="1"/>
  <c r="Z3" i="26" a="1"/>
  <c r="Z3" i="26" s="1"/>
  <c r="N4" i="26" a="1"/>
  <c r="N4" i="26" s="1"/>
  <c r="X4" i="26" a="1"/>
  <c r="X4" i="26" s="1"/>
  <c r="AH4" i="26" a="1"/>
  <c r="AH4" i="26" s="1"/>
  <c r="L5" i="26" a="1"/>
  <c r="L5" i="26" s="1"/>
  <c r="V5" i="26" a="1"/>
  <c r="V5" i="26" s="1"/>
  <c r="AF5" i="26" a="1"/>
  <c r="AF5" i="26" s="1"/>
  <c r="J6" i="26" a="1"/>
  <c r="J6" i="26" s="1"/>
  <c r="T6" i="26" a="1"/>
  <c r="T6" i="26" s="1"/>
  <c r="AD6" i="26" a="1"/>
  <c r="AD6" i="26" s="1"/>
  <c r="H7" i="26" a="1"/>
  <c r="H7" i="26" s="1"/>
  <c r="R7" i="26" a="1"/>
  <c r="R7" i="26" s="1"/>
  <c r="AB7" i="26" a="1"/>
  <c r="AB7" i="26" s="1"/>
  <c r="N2" i="26" a="1"/>
  <c r="N2" i="26" s="1"/>
  <c r="X2" i="26" a="1"/>
  <c r="X2" i="26" s="1"/>
  <c r="AH2" i="26" a="1"/>
  <c r="AH2" i="26" s="1"/>
  <c r="L2" i="26" a="1"/>
  <c r="L2" i="26" s="1"/>
  <c r="F3" i="25" a="1"/>
  <c r="F3" i="25" s="1"/>
  <c r="P3" i="25" a="1"/>
  <c r="P3" i="25" s="1"/>
  <c r="Z3" i="25" a="1"/>
  <c r="Z3" i="25" s="1"/>
  <c r="AJ3" i="25" a="1"/>
  <c r="AJ3" i="25" s="1"/>
  <c r="M4" i="25" a="1"/>
  <c r="M4" i="25" s="1"/>
  <c r="W4" i="25" a="1"/>
  <c r="W4" i="25" s="1"/>
  <c r="AG4" i="25" a="1"/>
  <c r="AG4" i="25" s="1"/>
  <c r="J5" i="25" a="1"/>
  <c r="J5" i="25" s="1"/>
  <c r="T5" i="25" a="1"/>
  <c r="T5" i="25" s="1"/>
  <c r="AD5" i="25" a="1"/>
  <c r="AD5" i="25" s="1"/>
  <c r="X2" i="25" a="1"/>
  <c r="X2" i="25" s="1"/>
  <c r="AH2" i="25" a="1"/>
  <c r="AH2" i="25" s="1"/>
  <c r="L2" i="25" a="1"/>
  <c r="L2" i="25" s="1"/>
  <c r="J8" i="24" a="1"/>
  <c r="J8" i="24" s="1"/>
  <c r="T8" i="24" a="1"/>
  <c r="T8" i="24" s="1"/>
  <c r="AD8" i="24" a="1"/>
  <c r="AD8" i="24" s="1"/>
  <c r="G9" i="24" a="1"/>
  <c r="G9" i="24" s="1"/>
  <c r="Q9" i="24" a="1"/>
  <c r="Q9" i="24" s="1"/>
  <c r="AA9" i="24" a="1"/>
  <c r="AA9" i="24" s="1"/>
  <c r="AL9" i="24" a="1"/>
  <c r="AL9" i="24" s="1"/>
  <c r="N10" i="24" a="1"/>
  <c r="N10" i="24" s="1"/>
  <c r="X10" i="24" a="1"/>
  <c r="X10" i="24" s="1"/>
  <c r="AH10" i="24" a="1"/>
  <c r="AH10" i="24" s="1"/>
  <c r="K11" i="24" a="1"/>
  <c r="K11" i="24" s="1"/>
  <c r="U11" i="24" a="1"/>
  <c r="U11" i="24" s="1"/>
  <c r="AE11" i="24" a="1"/>
  <c r="AE11" i="24" s="1"/>
  <c r="H12" i="24" a="1"/>
  <c r="H12" i="24" s="1"/>
  <c r="R12" i="24" a="1"/>
  <c r="R12" i="24" s="1"/>
  <c r="AB12" i="24" a="1"/>
  <c r="AB12" i="24" s="1"/>
  <c r="E13" i="24" a="1"/>
  <c r="E13" i="24" s="1"/>
  <c r="O13" i="24" a="1"/>
  <c r="O13" i="24" s="1"/>
  <c r="Y13" i="24" a="1"/>
  <c r="Y13" i="24" s="1"/>
  <c r="AI13" i="24" a="1"/>
  <c r="AI13" i="24" s="1"/>
  <c r="F7" i="23" a="1"/>
  <c r="F7" i="23" s="1"/>
  <c r="AH10" i="20" a="1"/>
  <c r="AH10" i="20" s="1"/>
  <c r="X10" i="20" a="1"/>
  <c r="X10" i="20" s="1"/>
  <c r="M10" i="20" a="1"/>
  <c r="M10" i="20" s="1"/>
  <c r="AH9" i="20" a="1"/>
  <c r="AH9" i="20" s="1"/>
  <c r="Q9" i="20" a="1"/>
  <c r="Q9" i="20" s="1"/>
  <c r="AE8" i="20" a="1"/>
  <c r="AE8" i="20" s="1"/>
  <c r="Q8" i="20" a="1"/>
  <c r="Q8" i="20" s="1"/>
  <c r="AE7" i="20" a="1"/>
  <c r="AE7" i="20" s="1"/>
  <c r="M7" i="20" a="1"/>
  <c r="M7" i="20" s="1"/>
  <c r="AE11" i="20" a="1"/>
  <c r="AE11" i="20" s="1"/>
  <c r="M11" i="20" a="1"/>
  <c r="M11" i="20" s="1"/>
  <c r="AF11" i="23" a="1"/>
  <c r="AF11" i="23" s="1"/>
  <c r="R11" i="23" a="1"/>
  <c r="R11" i="23" s="1"/>
  <c r="AG10" i="23" a="1"/>
  <c r="AG10" i="23" s="1"/>
  <c r="O10" i="23" a="1"/>
  <c r="O10" i="23" s="1"/>
  <c r="AH9" i="23" a="1"/>
  <c r="AH9" i="23" s="1"/>
  <c r="P9" i="23" a="1"/>
  <c r="P9" i="23" s="1"/>
  <c r="AE8" i="23" a="1"/>
  <c r="AE8" i="23" s="1"/>
  <c r="Q8" i="23" a="1"/>
  <c r="Q8" i="23" s="1"/>
  <c r="AF7" i="23" a="1"/>
  <c r="AF7" i="23" s="1"/>
  <c r="N7" i="23" a="1"/>
  <c r="N7" i="23" s="1"/>
  <c r="AC13" i="24" a="1"/>
  <c r="AC13" i="24" s="1"/>
  <c r="L12" i="24" a="1"/>
  <c r="L12" i="24" s="1"/>
  <c r="AB10" i="24" a="1"/>
  <c r="AB10" i="24" s="1"/>
  <c r="K9" i="24" a="1"/>
  <c r="K9" i="24" s="1"/>
  <c r="AB5" i="25" a="1"/>
  <c r="AB5" i="25" s="1"/>
  <c r="K4" i="25" a="1"/>
  <c r="K4" i="25" s="1"/>
  <c r="R6" i="26" a="1"/>
  <c r="R6" i="26" s="1"/>
  <c r="L4" i="26" a="1"/>
  <c r="L4" i="26" s="1"/>
  <c r="E9" i="20" a="1"/>
  <c r="E9" i="20" s="1"/>
  <c r="AL2" i="23" a="1"/>
  <c r="AL2" i="23" s="1"/>
  <c r="AL2" i="24" a="1"/>
  <c r="AL2" i="24" s="1"/>
  <c r="AG10" i="20" a="1"/>
  <c r="AG10" i="20" s="1"/>
  <c r="W10" i="20" a="1"/>
  <c r="W10" i="20" s="1"/>
  <c r="L10" i="20" a="1"/>
  <c r="L10" i="20" s="1"/>
  <c r="AE9" i="20" a="1"/>
  <c r="AE9" i="20" s="1"/>
  <c r="P9" i="20" a="1"/>
  <c r="P9" i="20" s="1"/>
  <c r="AD8" i="20" a="1"/>
  <c r="AD8" i="20" s="1"/>
  <c r="M8" i="20" a="1"/>
  <c r="M8" i="20" s="1"/>
  <c r="AD7" i="20" a="1"/>
  <c r="AD7" i="20" s="1"/>
  <c r="L7" i="20" a="1"/>
  <c r="L7" i="20" s="1"/>
  <c r="AA11" i="20" a="1"/>
  <c r="AA11" i="20" s="1"/>
  <c r="L11" i="20" a="1"/>
  <c r="L11" i="20" s="1"/>
  <c r="AE11" i="23" a="1"/>
  <c r="AE11" i="23" s="1"/>
  <c r="N11" i="23" a="1"/>
  <c r="N11" i="23" s="1"/>
  <c r="AF10" i="23" a="1"/>
  <c r="AF10" i="23" s="1"/>
  <c r="N10" i="23" a="1"/>
  <c r="N10" i="23" s="1"/>
  <c r="AD9" i="23" a="1"/>
  <c r="AD9" i="23" s="1"/>
  <c r="O9" i="23" a="1"/>
  <c r="O9" i="23" s="1"/>
  <c r="AD8" i="23" a="1"/>
  <c r="AD8" i="23" s="1"/>
  <c r="M8" i="23" a="1"/>
  <c r="M8" i="23" s="1"/>
  <c r="AE7" i="23" a="1"/>
  <c r="AE7" i="23" s="1"/>
  <c r="M7" i="23" a="1"/>
  <c r="M7" i="23" s="1"/>
  <c r="W13" i="24" a="1"/>
  <c r="W13" i="24" s="1"/>
  <c r="F12" i="24" a="1"/>
  <c r="F12" i="24" s="1"/>
  <c r="V10" i="24" a="1"/>
  <c r="V10" i="24" s="1"/>
  <c r="E9" i="24" a="1"/>
  <c r="E9" i="24" s="1"/>
  <c r="X5" i="25" a="1"/>
  <c r="X5" i="25" s="1"/>
  <c r="G4" i="25" a="1"/>
  <c r="G4" i="25" s="1"/>
  <c r="AF7" i="26" a="1"/>
  <c r="AF7" i="26" s="1"/>
  <c r="N6" i="26" a="1"/>
  <c r="N6" i="26" s="1"/>
  <c r="AH3" i="26" a="1"/>
  <c r="AH3" i="26" s="1"/>
  <c r="E11" i="20" a="1"/>
  <c r="E11" i="20" s="1"/>
  <c r="AF10" i="20" a="1"/>
  <c r="AF10" i="20" s="1"/>
  <c r="V10" i="20" a="1"/>
  <c r="V10" i="20" s="1"/>
  <c r="K10" i="20" a="1"/>
  <c r="K10" i="20" s="1"/>
  <c r="AC9" i="20" a="1"/>
  <c r="AC9" i="20" s="1"/>
  <c r="O9" i="20" a="1"/>
  <c r="O9" i="20" s="1"/>
  <c r="K8" i="20" a="1"/>
  <c r="K8" i="20" s="1"/>
  <c r="AC7" i="20" a="1"/>
  <c r="AC7" i="20" s="1"/>
  <c r="K7" i="20" a="1"/>
  <c r="K7" i="20" s="1"/>
  <c r="Y11" i="20" a="1"/>
  <c r="Y11" i="20" s="1"/>
  <c r="K11" i="20" a="1"/>
  <c r="K11" i="20" s="1"/>
  <c r="AD11" i="23" a="1"/>
  <c r="AD11" i="23" s="1"/>
  <c r="L11" i="23" a="1"/>
  <c r="L11" i="23" s="1"/>
  <c r="AE10" i="23" a="1"/>
  <c r="AE10" i="23" s="1"/>
  <c r="M10" i="23" a="1"/>
  <c r="M10" i="23" s="1"/>
  <c r="AB9" i="23" a="1"/>
  <c r="AB9" i="23" s="1"/>
  <c r="N9" i="23" a="1"/>
  <c r="N9" i="23" s="1"/>
  <c r="AC8" i="23" a="1"/>
  <c r="AC8" i="23" s="1"/>
  <c r="K8" i="23" a="1"/>
  <c r="K8" i="23" s="1"/>
  <c r="AD7" i="23" a="1"/>
  <c r="AD7" i="23" s="1"/>
  <c r="S13" i="24" a="1"/>
  <c r="S13" i="24" s="1"/>
  <c r="AI11" i="24" a="1"/>
  <c r="AI11" i="24" s="1"/>
  <c r="R10" i="24" a="1"/>
  <c r="R10" i="24" s="1"/>
  <c r="AH8" i="24" a="1"/>
  <c r="AH8" i="24" s="1"/>
  <c r="T2" i="25" a="1"/>
  <c r="T2" i="25" s="1"/>
  <c r="R5" i="25" a="1"/>
  <c r="R5" i="25" s="1"/>
  <c r="AH3" i="25" a="1"/>
  <c r="AH3" i="25" s="1"/>
  <c r="Z7" i="26" a="1"/>
  <c r="Z7" i="26" s="1"/>
  <c r="H6" i="26" a="1"/>
  <c r="H6" i="26" s="1"/>
  <c r="X3" i="26" a="1"/>
  <c r="X3" i="26" s="1"/>
  <c r="AE4" i="28" a="1"/>
  <c r="AE4" i="28" s="1"/>
  <c r="G2" i="28" a="1"/>
  <c r="G2" i="28" s="1"/>
  <c r="AK2" i="28" a="1"/>
  <c r="AK2" i="28" s="1"/>
  <c r="AC7" i="28" a="1"/>
  <c r="AC7" i="28" s="1"/>
  <c r="O6" i="28" a="1"/>
  <c r="O6" i="28" s="1"/>
  <c r="S5" i="28" a="1"/>
  <c r="S5" i="28" s="1"/>
  <c r="X3" i="28" a="1"/>
  <c r="X3" i="28" s="1"/>
  <c r="AJ2" i="28" a="1"/>
  <c r="AJ2" i="28" s="1"/>
  <c r="AI6" i="28" a="1"/>
  <c r="AI6" i="28" s="1"/>
  <c r="R5" i="28" a="1"/>
  <c r="R5" i="28" s="1"/>
  <c r="N3" i="28" a="1"/>
  <c r="N3" i="28" s="1"/>
  <c r="AG2" i="28" a="1"/>
  <c r="AG2" i="28" s="1"/>
  <c r="Z6" i="28" a="1"/>
  <c r="Z6" i="28" s="1"/>
  <c r="I5" i="28" a="1"/>
  <c r="I5" i="28" s="1"/>
  <c r="N2" i="28" a="1"/>
  <c r="N2" i="28" s="1"/>
  <c r="AG7" i="28" a="1"/>
  <c r="AG7" i="28" s="1"/>
  <c r="Y6" i="28" a="1"/>
  <c r="Y6" i="28" s="1"/>
  <c r="H5" i="28" a="1"/>
  <c r="H5" i="28" s="1"/>
  <c r="H2" i="28" a="1"/>
  <c r="H2" i="28" s="1"/>
  <c r="AF7" i="28" a="1"/>
  <c r="AF7" i="28" s="1"/>
  <c r="P6" i="28" a="1"/>
  <c r="P6" i="28" s="1"/>
  <c r="AF4" i="28" a="1"/>
  <c r="AF4" i="28" s="1"/>
  <c r="AD2" i="28" a="1"/>
  <c r="AD2" i="28" s="1"/>
  <c r="W7" i="28" a="1"/>
  <c r="W7" i="28" s="1"/>
  <c r="F6" i="28" a="1"/>
  <c r="F6" i="28" s="1"/>
  <c r="V4" i="28" a="1"/>
  <c r="V4" i="28" s="1"/>
  <c r="X2" i="28" a="1"/>
  <c r="X2" i="28" s="1"/>
  <c r="V7" i="28" a="1"/>
  <c r="V7" i="28" s="1"/>
  <c r="AM5" i="28" a="1"/>
  <c r="AM5" i="28" s="1"/>
  <c r="U4" i="28" a="1"/>
  <c r="U4" i="28" s="1"/>
  <c r="W2" i="28" a="1"/>
  <c r="W2" i="28" s="1"/>
  <c r="M7" i="28" a="1"/>
  <c r="M7" i="28" s="1"/>
  <c r="AC5" i="28" a="1"/>
  <c r="AC5" i="28" s="1"/>
  <c r="K4" i="28" a="1"/>
  <c r="K4" i="28" s="1"/>
  <c r="T2" i="28" a="1"/>
  <c r="T2" i="28" s="1"/>
  <c r="L7" i="28" a="1"/>
  <c r="L7" i="28" s="1"/>
  <c r="AB5" i="28" a="1"/>
  <c r="AB5" i="28" s="1"/>
  <c r="AH3" i="28" a="1"/>
  <c r="AH3" i="28" s="1"/>
  <c r="F2" i="28" a="1"/>
  <c r="F2" i="28" s="1"/>
  <c r="AF2" i="28" a="1"/>
  <c r="AF2" i="28" s="1"/>
  <c r="V2" i="28" a="1"/>
  <c r="V2" i="28" s="1"/>
  <c r="AI2" i="28" a="1"/>
  <c r="AI2" i="28" s="1"/>
  <c r="AE7" i="28" a="1"/>
  <c r="AE7" i="28" s="1"/>
  <c r="U7" i="28" a="1"/>
  <c r="U7" i="28" s="1"/>
  <c r="K7" i="28" a="1"/>
  <c r="K7" i="28" s="1"/>
  <c r="AH6" i="28" a="1"/>
  <c r="AH6" i="28" s="1"/>
  <c r="X6" i="28" a="1"/>
  <c r="X6" i="28" s="1"/>
  <c r="N6" i="28" a="1"/>
  <c r="N6" i="28" s="1"/>
  <c r="AK5" i="28" a="1"/>
  <c r="AK5" i="28" s="1"/>
  <c r="AA5" i="28" a="1"/>
  <c r="AA5" i="28" s="1"/>
  <c r="Q5" i="28" a="1"/>
  <c r="Q5" i="28" s="1"/>
  <c r="G5" i="28" a="1"/>
  <c r="G5" i="28" s="1"/>
  <c r="AD4" i="28" a="1"/>
  <c r="AD4" i="28" s="1"/>
  <c r="T4" i="28" a="1"/>
  <c r="T4" i="28" s="1"/>
  <c r="J4" i="28" a="1"/>
  <c r="J4" i="28" s="1"/>
  <c r="AG3" i="28" a="1"/>
  <c r="AG3" i="28" s="1"/>
  <c r="W3" i="28" a="1"/>
  <c r="W3" i="28" s="1"/>
  <c r="M3" i="28" a="1"/>
  <c r="M3" i="28" s="1"/>
  <c r="O2" i="28" a="1"/>
  <c r="O2" i="28" s="1"/>
  <c r="AE2" i="28" a="1"/>
  <c r="AE2" i="28" s="1"/>
  <c r="U2" i="28" a="1"/>
  <c r="U2" i="28" s="1"/>
  <c r="AH2" i="28" a="1"/>
  <c r="AH2" i="28" s="1"/>
  <c r="AD7" i="28" a="1"/>
  <c r="AD7" i="28" s="1"/>
  <c r="T7" i="28" a="1"/>
  <c r="T7" i="28" s="1"/>
  <c r="J7" i="28" a="1"/>
  <c r="J7" i="28" s="1"/>
  <c r="AG6" i="28" a="1"/>
  <c r="AG6" i="28" s="1"/>
  <c r="W6" i="28" a="1"/>
  <c r="W6" i="28" s="1"/>
  <c r="M6" i="28" a="1"/>
  <c r="M6" i="28" s="1"/>
  <c r="AJ5" i="28" a="1"/>
  <c r="AJ5" i="28" s="1"/>
  <c r="Z5" i="28" a="1"/>
  <c r="Z5" i="28" s="1"/>
  <c r="P5" i="28" a="1"/>
  <c r="P5" i="28" s="1"/>
  <c r="F5" i="28" a="1"/>
  <c r="F5" i="28" s="1"/>
  <c r="AC4" i="28" a="1"/>
  <c r="AC4" i="28" s="1"/>
  <c r="S4" i="28" a="1"/>
  <c r="S4" i="28" s="1"/>
  <c r="I4" i="28" a="1"/>
  <c r="I4" i="28" s="1"/>
  <c r="AF3" i="28" a="1"/>
  <c r="AF3" i="28" s="1"/>
  <c r="V3" i="28" a="1"/>
  <c r="V3" i="28" s="1"/>
  <c r="L3" i="28" a="1"/>
  <c r="L3" i="28" s="1"/>
  <c r="S7" i="28" a="1"/>
  <c r="S7" i="28" s="1"/>
  <c r="I7" i="28" a="1"/>
  <c r="I7" i="28" s="1"/>
  <c r="AF6" i="28" a="1"/>
  <c r="AF6" i="28" s="1"/>
  <c r="V6" i="28" a="1"/>
  <c r="V6" i="28" s="1"/>
  <c r="L6" i="28" a="1"/>
  <c r="L6" i="28" s="1"/>
  <c r="AI5" i="28" a="1"/>
  <c r="AI5" i="28" s="1"/>
  <c r="Y5" i="28" a="1"/>
  <c r="Y5" i="28" s="1"/>
  <c r="O5" i="28" a="1"/>
  <c r="O5" i="28" s="1"/>
  <c r="AM4" i="28" a="1"/>
  <c r="AM4" i="28" s="1"/>
  <c r="AB4" i="28" a="1"/>
  <c r="AB4" i="28" s="1"/>
  <c r="R4" i="28" a="1"/>
  <c r="R4" i="28" s="1"/>
  <c r="H4" i="28" a="1"/>
  <c r="H4" i="28" s="1"/>
  <c r="AE3" i="28" a="1"/>
  <c r="AE3" i="28" s="1"/>
  <c r="U3" i="28" a="1"/>
  <c r="U3" i="28" s="1"/>
  <c r="K3" i="28" a="1"/>
  <c r="K3" i="28" s="1"/>
  <c r="M2" i="28" a="1"/>
  <c r="M2" i="28" s="1"/>
  <c r="AC2" i="28" a="1"/>
  <c r="AC2" i="28" s="1"/>
  <c r="S2" i="28" a="1"/>
  <c r="S2" i="28" s="1"/>
  <c r="AM7" i="28" a="1"/>
  <c r="AM7" i="28" s="1"/>
  <c r="AB7" i="28" a="1"/>
  <c r="AB7" i="28" s="1"/>
  <c r="R7" i="28" a="1"/>
  <c r="R7" i="28" s="1"/>
  <c r="H7" i="28" a="1"/>
  <c r="H7" i="28" s="1"/>
  <c r="AE6" i="28" a="1"/>
  <c r="AE6" i="28" s="1"/>
  <c r="U6" i="28" a="1"/>
  <c r="U6" i="28" s="1"/>
  <c r="K6" i="28" a="1"/>
  <c r="K6" i="28" s="1"/>
  <c r="AH5" i="28" a="1"/>
  <c r="AH5" i="28" s="1"/>
  <c r="X5" i="28" a="1"/>
  <c r="X5" i="28" s="1"/>
  <c r="N5" i="28" a="1"/>
  <c r="N5" i="28" s="1"/>
  <c r="AK4" i="28" a="1"/>
  <c r="AK4" i="28" s="1"/>
  <c r="AA4" i="28" a="1"/>
  <c r="AA4" i="28" s="1"/>
  <c r="Q4" i="28" a="1"/>
  <c r="Q4" i="28" s="1"/>
  <c r="G4" i="28" a="1"/>
  <c r="G4" i="28" s="1"/>
  <c r="AD3" i="28" a="1"/>
  <c r="AD3" i="28" s="1"/>
  <c r="T3" i="28" a="1"/>
  <c r="T3" i="28" s="1"/>
  <c r="J3" i="28" a="1"/>
  <c r="J3" i="28" s="1"/>
  <c r="L2" i="28" a="1"/>
  <c r="L2" i="28" s="1"/>
  <c r="AB2" i="28" a="1"/>
  <c r="AB2" i="28" s="1"/>
  <c r="R2" i="28" a="1"/>
  <c r="R2" i="28" s="1"/>
  <c r="AK7" i="28" a="1"/>
  <c r="AK7" i="28" s="1"/>
  <c r="AA7" i="28" a="1"/>
  <c r="AA7" i="28" s="1"/>
  <c r="Q7" i="28" a="1"/>
  <c r="Q7" i="28" s="1"/>
  <c r="G7" i="28" a="1"/>
  <c r="G7" i="28" s="1"/>
  <c r="AD6" i="28" a="1"/>
  <c r="AD6" i="28" s="1"/>
  <c r="T6" i="28" a="1"/>
  <c r="T6" i="28" s="1"/>
  <c r="J6" i="28" a="1"/>
  <c r="J6" i="28" s="1"/>
  <c r="AG5" i="28" a="1"/>
  <c r="AG5" i="28" s="1"/>
  <c r="W5" i="28" a="1"/>
  <c r="W5" i="28" s="1"/>
  <c r="M5" i="28" a="1"/>
  <c r="M5" i="28" s="1"/>
  <c r="AJ4" i="28" a="1"/>
  <c r="AJ4" i="28" s="1"/>
  <c r="Z4" i="28" a="1"/>
  <c r="Z4" i="28" s="1"/>
  <c r="P4" i="28" a="1"/>
  <c r="P4" i="28" s="1"/>
  <c r="F4" i="28" a="1"/>
  <c r="F4" i="28" s="1"/>
  <c r="AC3" i="28" a="1"/>
  <c r="AC3" i="28" s="1"/>
  <c r="S3" i="28" a="1"/>
  <c r="S3" i="28" s="1"/>
  <c r="I3" i="28" a="1"/>
  <c r="I3" i="28" s="1"/>
  <c r="K2" i="28" a="1"/>
  <c r="K2" i="28" s="1"/>
  <c r="AA2" i="28" a="1"/>
  <c r="AA2" i="28" s="1"/>
  <c r="Q2" i="28" a="1"/>
  <c r="Q2" i="28" s="1"/>
  <c r="AJ7" i="28" a="1"/>
  <c r="AJ7" i="28" s="1"/>
  <c r="Z7" i="28" a="1"/>
  <c r="Z7" i="28" s="1"/>
  <c r="P7" i="28" a="1"/>
  <c r="P7" i="28" s="1"/>
  <c r="F7" i="28" a="1"/>
  <c r="F7" i="28" s="1"/>
  <c r="AC6" i="28" a="1"/>
  <c r="AC6" i="28" s="1"/>
  <c r="S6" i="28" a="1"/>
  <c r="S6" i="28" s="1"/>
  <c r="I6" i="28" a="1"/>
  <c r="I6" i="28" s="1"/>
  <c r="AF5" i="28" a="1"/>
  <c r="AF5" i="28" s="1"/>
  <c r="V5" i="28" a="1"/>
  <c r="V5" i="28" s="1"/>
  <c r="L5" i="28" a="1"/>
  <c r="L5" i="28" s="1"/>
  <c r="AI4" i="28" a="1"/>
  <c r="AI4" i="28" s="1"/>
  <c r="Y4" i="28" a="1"/>
  <c r="Y4" i="28" s="1"/>
  <c r="O4" i="28" a="1"/>
  <c r="O4" i="28" s="1"/>
  <c r="AM3" i="28" a="1"/>
  <c r="AM3" i="28" s="1"/>
  <c r="AB3" i="28" a="1"/>
  <c r="AB3" i="28" s="1"/>
  <c r="R3" i="28" a="1"/>
  <c r="R3" i="28" s="1"/>
  <c r="H3" i="28" a="1"/>
  <c r="H3" i="28" s="1"/>
  <c r="Z2" i="28" a="1"/>
  <c r="Z2" i="28" s="1"/>
  <c r="P2" i="28" a="1"/>
  <c r="P2" i="28" s="1"/>
  <c r="AI7" i="28" a="1"/>
  <c r="AI7" i="28" s="1"/>
  <c r="Y7" i="28" a="1"/>
  <c r="Y7" i="28" s="1"/>
  <c r="O7" i="28" a="1"/>
  <c r="O7" i="28" s="1"/>
  <c r="AM6" i="28" a="1"/>
  <c r="AM6" i="28" s="1"/>
  <c r="AB6" i="28" a="1"/>
  <c r="AB6" i="28" s="1"/>
  <c r="R6" i="28" a="1"/>
  <c r="R6" i="28" s="1"/>
  <c r="H6" i="28" a="1"/>
  <c r="H6" i="28" s="1"/>
  <c r="AE5" i="28" a="1"/>
  <c r="AE5" i="28" s="1"/>
  <c r="U5" i="28" a="1"/>
  <c r="U5" i="28" s="1"/>
  <c r="K5" i="28" a="1"/>
  <c r="K5" i="28" s="1"/>
  <c r="AH4" i="28" a="1"/>
  <c r="AH4" i="28" s="1"/>
  <c r="X4" i="28" a="1"/>
  <c r="X4" i="28" s="1"/>
  <c r="N4" i="28" a="1"/>
  <c r="N4" i="28" s="1"/>
  <c r="AK3" i="28" a="1"/>
  <c r="AK3" i="28" s="1"/>
  <c r="AA3" i="28" a="1"/>
  <c r="AA3" i="28" s="1"/>
  <c r="Q3" i="28" a="1"/>
  <c r="Q3" i="28" s="1"/>
  <c r="G3" i="28" a="1"/>
  <c r="G3" i="28" s="1"/>
  <c r="I2" i="28" a="1"/>
  <c r="I2" i="28" s="1"/>
  <c r="Y2" i="28" a="1"/>
  <c r="Y2" i="28" s="1"/>
  <c r="AH7" i="28" a="1"/>
  <c r="AH7" i="28" s="1"/>
  <c r="X7" i="28" a="1"/>
  <c r="X7" i="28" s="1"/>
  <c r="N7" i="28" a="1"/>
  <c r="N7" i="28" s="1"/>
  <c r="AK6" i="28" a="1"/>
  <c r="AK6" i="28" s="1"/>
  <c r="AA6" i="28" a="1"/>
  <c r="AA6" i="28" s="1"/>
  <c r="Q6" i="28" a="1"/>
  <c r="Q6" i="28" s="1"/>
  <c r="G6" i="28" a="1"/>
  <c r="G6" i="28" s="1"/>
  <c r="AD5" i="28" a="1"/>
  <c r="AD5" i="28" s="1"/>
  <c r="T5" i="28" a="1"/>
  <c r="T5" i="28" s="1"/>
  <c r="J5" i="28" a="1"/>
  <c r="J5" i="28" s="1"/>
  <c r="AG4" i="28" a="1"/>
  <c r="AG4" i="28" s="1"/>
  <c r="W4" i="28" a="1"/>
  <c r="W4" i="28" s="1"/>
  <c r="M4" i="28" a="1"/>
  <c r="M4" i="28" s="1"/>
  <c r="AJ3" i="28" a="1"/>
  <c r="AJ3" i="28" s="1"/>
  <c r="Z3" i="28" a="1"/>
  <c r="Z3" i="28" s="1"/>
  <c r="P3" i="28" a="1"/>
  <c r="P3" i="28" s="1"/>
  <c r="F3" i="28" a="1"/>
  <c r="F3" i="28" s="1"/>
  <c r="L4" i="28" a="1"/>
  <c r="L4" i="28" s="1"/>
  <c r="AI3" i="28" a="1"/>
  <c r="AI3" i="28" s="1"/>
  <c r="Y3" i="28" a="1"/>
  <c r="Y3" i="28" s="1"/>
  <c r="O3" i="28" a="1"/>
  <c r="O3" i="28" s="1"/>
  <c r="AH5" i="19" a="1"/>
  <c r="AH5" i="19" s="1"/>
  <c r="AI5" i="19" a="1"/>
  <c r="AI5" i="19" s="1"/>
  <c r="O5" i="19" a="1"/>
  <c r="O5" i="19" s="1"/>
  <c r="N5" i="19" a="1"/>
  <c r="N5" i="19" s="1"/>
  <c r="E5" i="19" a="1"/>
  <c r="E5" i="19" s="1"/>
  <c r="M5" i="19" a="1"/>
  <c r="M5" i="19" s="1"/>
  <c r="Z7" i="19" a="1"/>
  <c r="Z7" i="19" s="1"/>
  <c r="V5" i="19" a="1"/>
  <c r="V5" i="19" s="1"/>
  <c r="T7" i="19" a="1"/>
  <c r="T7" i="19" s="1"/>
  <c r="U5" i="19" a="1"/>
  <c r="U5" i="19" s="1"/>
  <c r="AE5" i="19" a="1"/>
  <c r="AE5" i="19" s="1"/>
  <c r="F5" i="19" a="1"/>
  <c r="F5" i="19" s="1"/>
  <c r="AJ5" i="19" a="1"/>
  <c r="AJ5" i="19" s="1"/>
  <c r="X5" i="19" a="1"/>
  <c r="X5" i="19" s="1"/>
  <c r="AG7" i="19" a="1"/>
  <c r="AG7" i="19" s="1"/>
  <c r="T5" i="19" a="1"/>
  <c r="T5" i="19" s="1"/>
  <c r="AJ6" i="19" a="1"/>
  <c r="AJ6" i="19" s="1"/>
  <c r="S5" i="19" a="1"/>
  <c r="S5" i="19" s="1"/>
  <c r="AA5" i="19" a="1"/>
  <c r="AA5" i="19" s="1"/>
  <c r="AC6" i="19" a="1"/>
  <c r="AC6" i="19" s="1"/>
  <c r="AB5" i="19" a="1"/>
  <c r="AB5" i="19" s="1"/>
  <c r="H5" i="19" a="1"/>
  <c r="H5" i="19" s="1"/>
  <c r="R5" i="19" a="1"/>
  <c r="R5" i="19" s="1"/>
  <c r="Z5" i="19" a="1"/>
  <c r="Z5" i="19" s="1"/>
  <c r="W6" i="19" a="1"/>
  <c r="W6" i="19" s="1"/>
  <c r="L6" i="19" a="1"/>
  <c r="L6" i="19" s="1"/>
  <c r="AG5" i="19" a="1"/>
  <c r="AG5" i="19" s="1"/>
  <c r="S7" i="19" a="1"/>
  <c r="S7" i="19" s="1"/>
  <c r="AF5" i="19" a="1"/>
  <c r="AF5" i="19" s="1"/>
  <c r="G5" i="19" a="1"/>
  <c r="G5" i="19" s="1"/>
  <c r="Y5" i="19" a="1"/>
  <c r="Y5" i="19" s="1"/>
  <c r="G6" i="19" a="1"/>
  <c r="G6" i="19" s="1"/>
  <c r="Y7" i="19" a="1"/>
  <c r="Y7" i="19" s="1"/>
  <c r="J5" i="19" a="1"/>
  <c r="J5" i="19" s="1"/>
  <c r="AC5" i="19" a="1"/>
  <c r="AC5" i="19" s="1"/>
  <c r="AI7" i="19" a="1"/>
  <c r="AI7" i="19" s="1"/>
  <c r="V7" i="19" a="1"/>
  <c r="V7" i="19" s="1"/>
  <c r="Y6" i="19" a="1"/>
  <c r="Y6" i="19" s="1"/>
  <c r="R6" i="19" a="1"/>
  <c r="R6" i="19" s="1"/>
  <c r="AH7" i="19" a="1"/>
  <c r="AH7" i="19" s="1"/>
  <c r="AB7" i="19" a="1"/>
  <c r="AB7" i="19" s="1"/>
  <c r="U7" i="19" a="1"/>
  <c r="U7" i="19" s="1"/>
  <c r="AE6" i="19" a="1"/>
  <c r="AE6" i="19" s="1"/>
  <c r="X6" i="19" a="1"/>
  <c r="X6" i="19" s="1"/>
  <c r="L7" i="19" a="1"/>
  <c r="L7" i="19" s="1"/>
  <c r="O6" i="19" a="1"/>
  <c r="O6" i="19" s="1"/>
  <c r="H6" i="19" a="1"/>
  <c r="H6" i="19" s="1"/>
  <c r="AA7" i="19" a="1"/>
  <c r="AA7" i="19" s="1"/>
  <c r="AD6" i="19" a="1"/>
  <c r="AD6" i="19" s="1"/>
  <c r="Q6" i="19" a="1"/>
  <c r="Q6" i="19" s="1"/>
  <c r="K7" i="19" a="1"/>
  <c r="K7" i="19" s="1"/>
  <c r="N6" i="19" a="1"/>
  <c r="N6" i="19" s="1"/>
  <c r="AF7" i="19" a="1"/>
  <c r="AF7" i="19" s="1"/>
  <c r="AI6" i="19" a="1"/>
  <c r="AI6" i="19" s="1"/>
  <c r="P6" i="19" a="1"/>
  <c r="P6" i="19" s="1"/>
  <c r="J7" i="19" a="1"/>
  <c r="J7" i="19" s="1"/>
  <c r="M6" i="19" a="1"/>
  <c r="M6" i="19" s="1"/>
  <c r="F6" i="19" a="1"/>
  <c r="F6" i="19" s="1"/>
  <c r="AE7" i="19" a="1"/>
  <c r="AE7" i="19" s="1"/>
  <c r="AH6" i="19" a="1"/>
  <c r="AH6" i="19" s="1"/>
  <c r="V6" i="19" a="1"/>
  <c r="V6" i="19" s="1"/>
  <c r="B5" i="19" a="1"/>
  <c r="B5" i="19" s="1"/>
  <c r="L5" i="19" a="1"/>
  <c r="L5" i="19" s="1"/>
  <c r="W5" i="19" a="1"/>
  <c r="W5" i="19" s="1"/>
  <c r="AD7" i="19" a="1"/>
  <c r="AD7" i="19" s="1"/>
  <c r="X7" i="19" a="1"/>
  <c r="X7" i="19" s="1"/>
  <c r="R7" i="19" a="1"/>
  <c r="R7" i="19" s="1"/>
  <c r="AG6" i="19" a="1"/>
  <c r="AG6" i="19" s="1"/>
  <c r="AA6" i="19" a="1"/>
  <c r="AA6" i="19" s="1"/>
  <c r="U6" i="19" a="1"/>
  <c r="U6" i="19" s="1"/>
  <c r="N7" i="19" a="1"/>
  <c r="N7" i="19" s="1"/>
  <c r="H7" i="19" a="1"/>
  <c r="H7" i="19" s="1"/>
  <c r="K6" i="19" a="1"/>
  <c r="K6" i="19" s="1"/>
  <c r="AB6" i="19" a="1"/>
  <c r="AB6" i="19" s="1"/>
  <c r="B6" i="19" a="1"/>
  <c r="B6" i="19" s="1"/>
  <c r="O7" i="19" a="1"/>
  <c r="O7" i="19" s="1"/>
  <c r="B7" i="19" a="1"/>
  <c r="B7" i="19" s="1"/>
  <c r="E7" i="19" a="1"/>
  <c r="E7" i="19" s="1"/>
  <c r="Q5" i="19" a="1"/>
  <c r="Q5" i="19" s="1"/>
  <c r="AD5" i="19" a="1"/>
  <c r="AD5" i="19" s="1"/>
  <c r="Q7" i="19" a="1"/>
  <c r="Q7" i="19" s="1"/>
  <c r="T6" i="19" a="1"/>
  <c r="T6" i="19" s="1"/>
  <c r="G7" i="19" a="1"/>
  <c r="G7" i="19" s="1"/>
  <c r="E2" i="19" a="1"/>
  <c r="E2" i="19" s="1"/>
  <c r="K5" i="19" a="1"/>
  <c r="K5" i="19" s="1"/>
  <c r="P5" i="19" a="1"/>
  <c r="P5" i="19" s="1"/>
  <c r="AJ7" i="19" a="1"/>
  <c r="AJ7" i="19" s="1"/>
  <c r="AC7" i="19" a="1"/>
  <c r="AC7" i="19" s="1"/>
  <c r="W7" i="19" a="1"/>
  <c r="W7" i="19" s="1"/>
  <c r="P7" i="19" a="1"/>
  <c r="P7" i="19" s="1"/>
  <c r="AF6" i="19" a="1"/>
  <c r="AF6" i="19" s="1"/>
  <c r="Z6" i="19" a="1"/>
  <c r="Z6" i="19" s="1"/>
  <c r="S6" i="19" a="1"/>
  <c r="S6" i="19" s="1"/>
  <c r="M7" i="19" a="1"/>
  <c r="M7" i="19" s="1"/>
  <c r="F7" i="19" a="1"/>
  <c r="F7" i="19" s="1"/>
  <c r="J6" i="19" a="1"/>
  <c r="J6" i="19" s="1"/>
  <c r="E4" i="19" a="1"/>
  <c r="E4" i="19" s="1"/>
  <c r="E3" i="19" a="1"/>
  <c r="E3" i="19" s="1"/>
  <c r="E6" i="19" a="1"/>
  <c r="E6" i="19" s="1"/>
  <c r="L3" i="24" a="1"/>
  <c r="L3" i="24" s="1"/>
  <c r="J4" i="19" a="1"/>
  <c r="J4" i="19" s="1"/>
  <c r="L3" i="19" a="1"/>
  <c r="L3" i="19" s="1"/>
  <c r="K3" i="20" a="1"/>
  <c r="K3" i="20" s="1"/>
  <c r="L4" i="24" a="1"/>
  <c r="L4" i="24" s="1"/>
  <c r="K3" i="19" a="1"/>
  <c r="K3" i="19" s="1"/>
  <c r="L6" i="20" a="1"/>
  <c r="L6" i="20" s="1"/>
  <c r="L5" i="24" a="1"/>
  <c r="L5" i="24" s="1"/>
  <c r="L5" i="20" a="1"/>
  <c r="L5" i="20" s="1"/>
  <c r="L6" i="24" a="1"/>
  <c r="L6" i="24" s="1"/>
  <c r="L2" i="20" a="1"/>
  <c r="L2" i="20" s="1"/>
  <c r="L2" i="23" a="1"/>
  <c r="L2" i="23" s="1"/>
  <c r="L7" i="24" a="1"/>
  <c r="L7" i="24" s="1"/>
  <c r="L3" i="20" a="1"/>
  <c r="L3" i="20" s="1"/>
  <c r="L3" i="23" a="1"/>
  <c r="L3" i="23" s="1"/>
  <c r="L4" i="23" a="1"/>
  <c r="L4" i="23" s="1"/>
  <c r="J3" i="19" a="1"/>
  <c r="J3" i="19" s="1"/>
  <c r="K2" i="19" a="1"/>
  <c r="K2" i="19" s="1"/>
  <c r="L5" i="23" a="1"/>
  <c r="L5" i="23" s="1"/>
  <c r="K2" i="20" a="1"/>
  <c r="K2" i="20" s="1"/>
  <c r="L4" i="19" a="1"/>
  <c r="L4" i="19" s="1"/>
  <c r="K6" i="20" a="1"/>
  <c r="K6" i="20" s="1"/>
  <c r="L6" i="23" a="1"/>
  <c r="L6" i="23" s="1"/>
  <c r="L2" i="19" a="1"/>
  <c r="L2" i="19" s="1"/>
  <c r="L4" i="20" a="1"/>
  <c r="L4" i="20" s="1"/>
  <c r="K4" i="19" a="1"/>
  <c r="K4" i="19" s="1"/>
  <c r="K5" i="20" a="1"/>
  <c r="K5" i="20" s="1"/>
  <c r="L2" i="24" a="1"/>
  <c r="L2" i="24" s="1"/>
  <c r="K4" i="20" a="1"/>
  <c r="K4" i="20" s="1"/>
  <c r="U3" i="23" a="1"/>
  <c r="U3" i="23" s="1"/>
  <c r="F2" i="23" a="1"/>
  <c r="F2" i="23" s="1"/>
  <c r="I2" i="23" a="1"/>
  <c r="I2" i="23" s="1"/>
  <c r="AE3" i="23" a="1"/>
  <c r="AE3" i="23" s="1"/>
  <c r="AH2" i="24" a="1"/>
  <c r="AH2" i="24" s="1"/>
  <c r="E6" i="23" a="1"/>
  <c r="E6" i="23" s="1"/>
  <c r="AI2" i="24" a="1"/>
  <c r="AI2" i="24" s="1"/>
  <c r="F5" i="23" a="1"/>
  <c r="F5" i="23" s="1"/>
  <c r="J3" i="23" a="1"/>
  <c r="J3" i="23" s="1"/>
  <c r="AC4" i="23" a="1"/>
  <c r="AC4" i="23" s="1"/>
  <c r="Y5" i="24" a="1"/>
  <c r="Y5" i="24" s="1"/>
  <c r="I7" i="24" a="1"/>
  <c r="I7" i="24" s="1"/>
  <c r="M6" i="24" a="1"/>
  <c r="M6" i="24" s="1"/>
  <c r="Q2" i="23" a="1"/>
  <c r="Q2" i="23" s="1"/>
  <c r="V2" i="23" a="1"/>
  <c r="V2" i="23" s="1"/>
  <c r="V6" i="24" a="1"/>
  <c r="V6" i="24" s="1"/>
  <c r="Z6" i="23" a="1"/>
  <c r="Z6" i="23" s="1"/>
  <c r="T4" i="23" a="1"/>
  <c r="T4" i="23" s="1"/>
  <c r="Y6" i="23" a="1"/>
  <c r="Y6" i="23" s="1"/>
  <c r="O6" i="23" a="1"/>
  <c r="O6" i="23" s="1"/>
  <c r="AF3" i="23" a="1"/>
  <c r="AF3" i="23" s="1"/>
  <c r="AH5" i="24" a="1"/>
  <c r="AH5" i="24" s="1"/>
  <c r="K3" i="23" a="1"/>
  <c r="K3" i="23" s="1"/>
  <c r="AJ4" i="24" a="1"/>
  <c r="AJ4" i="24" s="1"/>
  <c r="AD7" i="24" a="1"/>
  <c r="AD7" i="24" s="1"/>
  <c r="G5" i="23" a="1"/>
  <c r="G5" i="23" s="1"/>
  <c r="E4" i="24" a="1"/>
  <c r="E4" i="24" s="1"/>
  <c r="AH2" i="23" a="1"/>
  <c r="AH2" i="23" s="1"/>
  <c r="J7" i="24" a="1"/>
  <c r="J7" i="24" s="1"/>
  <c r="AD4" i="23" a="1"/>
  <c r="AD4" i="23" s="1"/>
  <c r="AA4" i="24" a="1"/>
  <c r="AA4" i="24" s="1"/>
  <c r="N2" i="24" a="1"/>
  <c r="N2" i="24" s="1"/>
  <c r="U7" i="24" a="1"/>
  <c r="U7" i="24" s="1"/>
  <c r="K6" i="24" a="1"/>
  <c r="K6" i="24" s="1"/>
  <c r="R2" i="23" a="1"/>
  <c r="R2" i="23" s="1"/>
  <c r="P6" i="23" a="1"/>
  <c r="P6" i="23" s="1"/>
  <c r="V3" i="23" a="1"/>
  <c r="V3" i="23" s="1"/>
  <c r="M2" i="24" a="1"/>
  <c r="M2" i="24" s="1"/>
  <c r="T7" i="24" a="1"/>
  <c r="T7" i="24" s="1"/>
  <c r="Z4" i="24" a="1"/>
  <c r="Z4" i="24" s="1"/>
  <c r="AI5" i="24" a="1"/>
  <c r="AI5" i="24" s="1"/>
  <c r="P4" i="24" a="1"/>
  <c r="P4" i="24" s="1"/>
  <c r="S4" i="23" a="1"/>
  <c r="S4" i="23" s="1"/>
  <c r="AG6" i="24" a="1"/>
  <c r="AG6" i="24" s="1"/>
  <c r="AB3" i="24" a="1"/>
  <c r="AB3" i="24" s="1"/>
  <c r="I4" i="23" a="1"/>
  <c r="I4" i="23" s="1"/>
  <c r="X2" i="24" a="1"/>
  <c r="X2" i="24" s="1"/>
  <c r="AF6" i="24" a="1"/>
  <c r="AF6" i="24" s="1"/>
  <c r="O5" i="24" a="1"/>
  <c r="O5" i="24" s="1"/>
  <c r="G3" i="24" a="1"/>
  <c r="G3" i="24" s="1"/>
  <c r="AB5" i="23" a="1"/>
  <c r="AB5" i="23" s="1"/>
  <c r="Y2" i="24" a="1"/>
  <c r="Y2" i="24" s="1"/>
  <c r="X5" i="24" a="1"/>
  <c r="X5" i="24" s="1"/>
  <c r="AA5" i="23" a="1"/>
  <c r="AA5" i="23" s="1"/>
  <c r="AJ6" i="23" a="1"/>
  <c r="AJ6" i="23" s="1"/>
  <c r="R5" i="23" a="1"/>
  <c r="R5" i="23" s="1"/>
  <c r="H4" i="23" a="1"/>
  <c r="H4" i="23" s="1"/>
  <c r="W6" i="24" a="1"/>
  <c r="W6" i="24" s="1"/>
  <c r="N5" i="24" a="1"/>
  <c r="N5" i="24" s="1"/>
  <c r="AI6" i="23" a="1"/>
  <c r="AI6" i="23" s="1"/>
  <c r="Q5" i="23" a="1"/>
  <c r="Q5" i="23" s="1"/>
  <c r="AE7" i="24" a="1"/>
  <c r="AE7" i="24" s="1"/>
  <c r="AA2" i="23" a="1"/>
  <c r="AA2" i="23" s="1"/>
  <c r="AE6" i="23" a="1"/>
  <c r="AE6" i="23" s="1"/>
  <c r="J6" i="23" a="1"/>
  <c r="J6" i="23" s="1"/>
  <c r="W5" i="23" a="1"/>
  <c r="W5" i="23" s="1"/>
  <c r="O2" i="23" a="1"/>
  <c r="O2" i="23" s="1"/>
  <c r="Z2" i="23" a="1"/>
  <c r="Z2" i="23" s="1"/>
  <c r="AD6" i="23" a="1"/>
  <c r="AD6" i="23" s="1"/>
  <c r="T6" i="23" a="1"/>
  <c r="T6" i="23" s="1"/>
  <c r="I6" i="23" a="1"/>
  <c r="I6" i="23" s="1"/>
  <c r="AF5" i="23" a="1"/>
  <c r="AF5" i="23" s="1"/>
  <c r="V5" i="23" a="1"/>
  <c r="V5" i="23" s="1"/>
  <c r="K5" i="23" a="1"/>
  <c r="K5" i="23" s="1"/>
  <c r="AH4" i="23" a="1"/>
  <c r="AH4" i="23" s="1"/>
  <c r="X4" i="23" a="1"/>
  <c r="X4" i="23" s="1"/>
  <c r="N4" i="23" a="1"/>
  <c r="N4" i="23" s="1"/>
  <c r="AJ3" i="23" a="1"/>
  <c r="AJ3" i="23" s="1"/>
  <c r="Z3" i="23" a="1"/>
  <c r="Z3" i="23" s="1"/>
  <c r="P3" i="23" a="1"/>
  <c r="P3" i="23" s="1"/>
  <c r="E3" i="23" a="1"/>
  <c r="E3" i="23" s="1"/>
  <c r="R2" i="24" a="1"/>
  <c r="R2" i="24" s="1"/>
  <c r="G2" i="24" a="1"/>
  <c r="G2" i="24" s="1"/>
  <c r="AC2" i="24" a="1"/>
  <c r="AC2" i="24" s="1"/>
  <c r="AI7" i="24" a="1"/>
  <c r="AI7" i="24" s="1"/>
  <c r="Y7" i="24" a="1"/>
  <c r="Y7" i="24" s="1"/>
  <c r="O7" i="24" a="1"/>
  <c r="O7" i="24" s="1"/>
  <c r="AA6" i="24" a="1"/>
  <c r="AA6" i="24" s="1"/>
  <c r="Q6" i="24" a="1"/>
  <c r="Q6" i="24" s="1"/>
  <c r="F6" i="24" a="1"/>
  <c r="F6" i="24" s="1"/>
  <c r="AC5" i="24" a="1"/>
  <c r="AC5" i="24" s="1"/>
  <c r="S5" i="24" a="1"/>
  <c r="S5" i="24" s="1"/>
  <c r="H5" i="24" a="1"/>
  <c r="H5" i="24" s="1"/>
  <c r="AE4" i="24" a="1"/>
  <c r="AE4" i="24" s="1"/>
  <c r="U4" i="24" a="1"/>
  <c r="U4" i="24" s="1"/>
  <c r="J4" i="24" a="1"/>
  <c r="J4" i="24" s="1"/>
  <c r="AG3" i="24" a="1"/>
  <c r="AG3" i="24" s="1"/>
  <c r="W3" i="24" a="1"/>
  <c r="W3" i="24" s="1"/>
  <c r="M3" i="24" a="1"/>
  <c r="M3" i="24" s="1"/>
  <c r="Y2" i="23" a="1"/>
  <c r="Y2" i="23" s="1"/>
  <c r="S6" i="23" a="1"/>
  <c r="S6" i="23" s="1"/>
  <c r="U5" i="23" a="1"/>
  <c r="U5" i="23" s="1"/>
  <c r="W4" i="23" a="1"/>
  <c r="W4" i="23" s="1"/>
  <c r="M4" i="23" a="1"/>
  <c r="M4" i="23" s="1"/>
  <c r="O3" i="23" a="1"/>
  <c r="O3" i="23" s="1"/>
  <c r="E2" i="24" a="1"/>
  <c r="E2" i="24" s="1"/>
  <c r="Q2" i="24" a="1"/>
  <c r="Q2" i="24" s="1"/>
  <c r="F2" i="24" a="1"/>
  <c r="F2" i="24" s="1"/>
  <c r="AB2" i="24" a="1"/>
  <c r="AB2" i="24" s="1"/>
  <c r="AH7" i="24" a="1"/>
  <c r="AH7" i="24" s="1"/>
  <c r="X7" i="24" a="1"/>
  <c r="X7" i="24" s="1"/>
  <c r="N7" i="24" a="1"/>
  <c r="N7" i="24" s="1"/>
  <c r="AJ6" i="24" a="1"/>
  <c r="AJ6" i="24" s="1"/>
  <c r="Z6" i="24" a="1"/>
  <c r="Z6" i="24" s="1"/>
  <c r="P6" i="24" a="1"/>
  <c r="P6" i="24" s="1"/>
  <c r="E6" i="24" a="1"/>
  <c r="E6" i="24" s="1"/>
  <c r="AB5" i="24" a="1"/>
  <c r="AB5" i="24" s="1"/>
  <c r="R5" i="24" a="1"/>
  <c r="R5" i="24" s="1"/>
  <c r="G5" i="24" a="1"/>
  <c r="G5" i="24" s="1"/>
  <c r="AD4" i="24" a="1"/>
  <c r="AD4" i="24" s="1"/>
  <c r="T4" i="24" a="1"/>
  <c r="T4" i="24" s="1"/>
  <c r="I4" i="24" a="1"/>
  <c r="I4" i="24" s="1"/>
  <c r="AF3" i="24" a="1"/>
  <c r="AF3" i="24" s="1"/>
  <c r="V3" i="24" a="1"/>
  <c r="V3" i="24" s="1"/>
  <c r="K3" i="24" a="1"/>
  <c r="K3" i="24" s="1"/>
  <c r="AJ2" i="23" a="1"/>
  <c r="AJ2" i="23" s="1"/>
  <c r="H6" i="23" a="1"/>
  <c r="H6" i="23" s="1"/>
  <c r="AG4" i="23" a="1"/>
  <c r="AG4" i="23" s="1"/>
  <c r="Y3" i="23" a="1"/>
  <c r="Y3" i="23" s="1"/>
  <c r="H2" i="23" a="1"/>
  <c r="H2" i="23" s="1"/>
  <c r="T2" i="23" a="1"/>
  <c r="T2" i="23" s="1"/>
  <c r="X2" i="23" a="1"/>
  <c r="X2" i="23" s="1"/>
  <c r="AI2" i="23" a="1"/>
  <c r="AI2" i="23" s="1"/>
  <c r="AB6" i="23" a="1"/>
  <c r="AB6" i="23" s="1"/>
  <c r="R6" i="23" a="1"/>
  <c r="R6" i="23" s="1"/>
  <c r="G6" i="23" a="1"/>
  <c r="G6" i="23" s="1"/>
  <c r="AD5" i="23" a="1"/>
  <c r="AD5" i="23" s="1"/>
  <c r="T5" i="23" a="1"/>
  <c r="T5" i="23" s="1"/>
  <c r="I5" i="23" a="1"/>
  <c r="I5" i="23" s="1"/>
  <c r="AF4" i="23" a="1"/>
  <c r="AF4" i="23" s="1"/>
  <c r="V4" i="23" a="1"/>
  <c r="V4" i="23" s="1"/>
  <c r="K4" i="23" a="1"/>
  <c r="K4" i="23" s="1"/>
  <c r="AH3" i="23" a="1"/>
  <c r="AH3" i="23" s="1"/>
  <c r="X3" i="23" a="1"/>
  <c r="X3" i="23" s="1"/>
  <c r="N3" i="23" a="1"/>
  <c r="N3" i="23" s="1"/>
  <c r="P2" i="24" a="1"/>
  <c r="P2" i="24" s="1"/>
  <c r="AA2" i="24" a="1"/>
  <c r="AA2" i="24" s="1"/>
  <c r="AG7" i="24" a="1"/>
  <c r="AG7" i="24" s="1"/>
  <c r="W7" i="24" a="1"/>
  <c r="W7" i="24" s="1"/>
  <c r="M7" i="24" a="1"/>
  <c r="M7" i="24" s="1"/>
  <c r="AI6" i="24" a="1"/>
  <c r="AI6" i="24" s="1"/>
  <c r="Y6" i="24" a="1"/>
  <c r="Y6" i="24" s="1"/>
  <c r="O6" i="24" a="1"/>
  <c r="O6" i="24" s="1"/>
  <c r="AA5" i="24" a="1"/>
  <c r="AA5" i="24" s="1"/>
  <c r="Q5" i="24" a="1"/>
  <c r="Q5" i="24" s="1"/>
  <c r="F5" i="24" a="1"/>
  <c r="F5" i="24" s="1"/>
  <c r="AC4" i="24" a="1"/>
  <c r="AC4" i="24" s="1"/>
  <c r="S4" i="24" a="1"/>
  <c r="S4" i="24" s="1"/>
  <c r="H4" i="24" a="1"/>
  <c r="H4" i="24" s="1"/>
  <c r="AE3" i="24" a="1"/>
  <c r="AE3" i="24" s="1"/>
  <c r="U3" i="24" a="1"/>
  <c r="U3" i="24" s="1"/>
  <c r="J3" i="24" a="1"/>
  <c r="J3" i="24" s="1"/>
  <c r="U2" i="23" a="1"/>
  <c r="U2" i="23" s="1"/>
  <c r="AC6" i="23" a="1"/>
  <c r="AC6" i="23" s="1"/>
  <c r="AE5" i="23" a="1"/>
  <c r="AE5" i="23" s="1"/>
  <c r="J5" i="23" a="1"/>
  <c r="J5" i="23" s="1"/>
  <c r="AI3" i="23" a="1"/>
  <c r="AI3" i="23" s="1"/>
  <c r="G2" i="23" a="1"/>
  <c r="G2" i="23" s="1"/>
  <c r="S2" i="23" a="1"/>
  <c r="S2" i="23" s="1"/>
  <c r="W2" i="23" a="1"/>
  <c r="W2" i="23" s="1"/>
  <c r="AA6" i="23" a="1"/>
  <c r="AA6" i="23" s="1"/>
  <c r="Q6" i="23" a="1"/>
  <c r="Q6" i="23" s="1"/>
  <c r="F6" i="23" a="1"/>
  <c r="F6" i="23" s="1"/>
  <c r="AC5" i="23" a="1"/>
  <c r="AC5" i="23" s="1"/>
  <c r="S5" i="23" a="1"/>
  <c r="S5" i="23" s="1"/>
  <c r="H5" i="23" a="1"/>
  <c r="H5" i="23" s="1"/>
  <c r="AE4" i="23" a="1"/>
  <c r="AE4" i="23" s="1"/>
  <c r="U4" i="23" a="1"/>
  <c r="U4" i="23" s="1"/>
  <c r="J4" i="23" a="1"/>
  <c r="J4" i="23" s="1"/>
  <c r="AG3" i="23" a="1"/>
  <c r="AG3" i="23" s="1"/>
  <c r="W3" i="23" a="1"/>
  <c r="W3" i="23" s="1"/>
  <c r="M3" i="23" a="1"/>
  <c r="M3" i="23" s="1"/>
  <c r="O2" i="24" a="1"/>
  <c r="O2" i="24" s="1"/>
  <c r="AJ2" i="24" a="1"/>
  <c r="AJ2" i="24" s="1"/>
  <c r="Z2" i="24" a="1"/>
  <c r="Z2" i="24" s="1"/>
  <c r="AF7" i="24" a="1"/>
  <c r="AF7" i="24" s="1"/>
  <c r="V7" i="24" a="1"/>
  <c r="V7" i="24" s="1"/>
  <c r="K7" i="24" a="1"/>
  <c r="K7" i="24" s="1"/>
  <c r="AH6" i="24" a="1"/>
  <c r="AH6" i="24" s="1"/>
  <c r="X6" i="24" a="1"/>
  <c r="X6" i="24" s="1"/>
  <c r="N6" i="24" a="1"/>
  <c r="N6" i="24" s="1"/>
  <c r="AJ5" i="24" a="1"/>
  <c r="AJ5" i="24" s="1"/>
  <c r="Z5" i="24" a="1"/>
  <c r="Z5" i="24" s="1"/>
  <c r="P5" i="24" a="1"/>
  <c r="P5" i="24" s="1"/>
  <c r="E5" i="24" a="1"/>
  <c r="E5" i="24" s="1"/>
  <c r="AB4" i="24" a="1"/>
  <c r="AB4" i="24" s="1"/>
  <c r="R4" i="24" a="1"/>
  <c r="R4" i="24" s="1"/>
  <c r="G4" i="24" a="1"/>
  <c r="G4" i="24" s="1"/>
  <c r="AD3" i="24" a="1"/>
  <c r="AD3" i="24" s="1"/>
  <c r="T3" i="24" a="1"/>
  <c r="T3" i="24" s="1"/>
  <c r="I3" i="24" a="1"/>
  <c r="I3" i="24" s="1"/>
  <c r="Q4" i="24" a="1"/>
  <c r="Q4" i="24" s="1"/>
  <c r="F4" i="24" a="1"/>
  <c r="F4" i="24" s="1"/>
  <c r="AC3" i="24" a="1"/>
  <c r="AC3" i="24" s="1"/>
  <c r="S3" i="24" a="1"/>
  <c r="S3" i="24" s="1"/>
  <c r="H3" i="24" a="1"/>
  <c r="H3" i="24" s="1"/>
  <c r="R3" i="24" a="1"/>
  <c r="R3" i="24" s="1"/>
  <c r="N2" i="23" a="1"/>
  <c r="N2" i="23" s="1"/>
  <c r="P2" i="23" a="1"/>
  <c r="P2" i="23" s="1"/>
  <c r="AG2" i="23" a="1"/>
  <c r="AG2" i="23" s="1"/>
  <c r="AH6" i="23" a="1"/>
  <c r="AH6" i="23" s="1"/>
  <c r="X6" i="23" a="1"/>
  <c r="X6" i="23" s="1"/>
  <c r="N6" i="23" a="1"/>
  <c r="N6" i="23" s="1"/>
  <c r="AJ5" i="23" a="1"/>
  <c r="AJ5" i="23" s="1"/>
  <c r="Z5" i="23" a="1"/>
  <c r="Z5" i="23" s="1"/>
  <c r="P5" i="23" a="1"/>
  <c r="P5" i="23" s="1"/>
  <c r="E5" i="23" a="1"/>
  <c r="E5" i="23" s="1"/>
  <c r="AB4" i="23" a="1"/>
  <c r="AB4" i="23" s="1"/>
  <c r="R4" i="23" a="1"/>
  <c r="R4" i="23" s="1"/>
  <c r="G4" i="23" a="1"/>
  <c r="G4" i="23" s="1"/>
  <c r="AD3" i="23" a="1"/>
  <c r="AD3" i="23" s="1"/>
  <c r="T3" i="23" a="1"/>
  <c r="T3" i="23" s="1"/>
  <c r="I3" i="23" a="1"/>
  <c r="I3" i="23" s="1"/>
  <c r="K2" i="24" a="1"/>
  <c r="K2" i="24" s="1"/>
  <c r="AG2" i="24" a="1"/>
  <c r="AG2" i="24" s="1"/>
  <c r="W2" i="24" a="1"/>
  <c r="W2" i="24" s="1"/>
  <c r="AC7" i="24" a="1"/>
  <c r="AC7" i="24" s="1"/>
  <c r="S7" i="24" a="1"/>
  <c r="S7" i="24" s="1"/>
  <c r="H7" i="24" a="1"/>
  <c r="H7" i="24" s="1"/>
  <c r="AE6" i="24" a="1"/>
  <c r="AE6" i="24" s="1"/>
  <c r="U6" i="24" a="1"/>
  <c r="U6" i="24" s="1"/>
  <c r="J6" i="24" a="1"/>
  <c r="J6" i="24" s="1"/>
  <c r="AG5" i="24" a="1"/>
  <c r="AG5" i="24" s="1"/>
  <c r="W5" i="24" a="1"/>
  <c r="W5" i="24" s="1"/>
  <c r="M5" i="24" a="1"/>
  <c r="M5" i="24" s="1"/>
  <c r="AI4" i="24" a="1"/>
  <c r="AI4" i="24" s="1"/>
  <c r="Y4" i="24" a="1"/>
  <c r="Y4" i="24" s="1"/>
  <c r="O4" i="24" a="1"/>
  <c r="O4" i="24" s="1"/>
  <c r="AA3" i="24" a="1"/>
  <c r="AA3" i="24" s="1"/>
  <c r="Q3" i="24" a="1"/>
  <c r="Q3" i="24" s="1"/>
  <c r="F3" i="24" a="1"/>
  <c r="F3" i="24" s="1"/>
  <c r="M2" i="23" a="1"/>
  <c r="M2" i="23" s="1"/>
  <c r="AC2" i="23" a="1"/>
  <c r="AC2" i="23" s="1"/>
  <c r="AF2" i="23" a="1"/>
  <c r="AF2" i="23" s="1"/>
  <c r="AG6" i="23" a="1"/>
  <c r="AG6" i="23" s="1"/>
  <c r="W6" i="23" a="1"/>
  <c r="W6" i="23" s="1"/>
  <c r="M6" i="23" a="1"/>
  <c r="M6" i="23" s="1"/>
  <c r="AI5" i="23" a="1"/>
  <c r="AI5" i="23" s="1"/>
  <c r="Y5" i="23" a="1"/>
  <c r="Y5" i="23" s="1"/>
  <c r="O5" i="23" a="1"/>
  <c r="O5" i="23" s="1"/>
  <c r="AA4" i="23" a="1"/>
  <c r="AA4" i="23" s="1"/>
  <c r="Q4" i="23" a="1"/>
  <c r="Q4" i="23" s="1"/>
  <c r="F4" i="23" a="1"/>
  <c r="F4" i="23" s="1"/>
  <c r="AC3" i="23" a="1"/>
  <c r="AC3" i="23" s="1"/>
  <c r="S3" i="23" a="1"/>
  <c r="S3" i="23" s="1"/>
  <c r="H3" i="23" a="1"/>
  <c r="H3" i="23" s="1"/>
  <c r="U2" i="24" a="1"/>
  <c r="U2" i="24" s="1"/>
  <c r="J2" i="24" a="1"/>
  <c r="J2" i="24" s="1"/>
  <c r="AF2" i="24" a="1"/>
  <c r="AF2" i="24" s="1"/>
  <c r="V2" i="24" a="1"/>
  <c r="V2" i="24" s="1"/>
  <c r="AB7" i="24" a="1"/>
  <c r="AB7" i="24" s="1"/>
  <c r="R7" i="24" a="1"/>
  <c r="R7" i="24" s="1"/>
  <c r="G7" i="24" a="1"/>
  <c r="G7" i="24" s="1"/>
  <c r="AD6" i="24" a="1"/>
  <c r="AD6" i="24" s="1"/>
  <c r="T6" i="24" a="1"/>
  <c r="T6" i="24" s="1"/>
  <c r="I6" i="24" a="1"/>
  <c r="I6" i="24" s="1"/>
  <c r="AF5" i="24" a="1"/>
  <c r="AF5" i="24" s="1"/>
  <c r="V5" i="24" a="1"/>
  <c r="V5" i="24" s="1"/>
  <c r="K5" i="24" a="1"/>
  <c r="K5" i="24" s="1"/>
  <c r="AH4" i="24" a="1"/>
  <c r="AH4" i="24" s="1"/>
  <c r="X4" i="24" a="1"/>
  <c r="X4" i="24" s="1"/>
  <c r="N4" i="24" a="1"/>
  <c r="N4" i="24" s="1"/>
  <c r="AJ3" i="24" a="1"/>
  <c r="AJ3" i="24" s="1"/>
  <c r="Z3" i="24" a="1"/>
  <c r="Z3" i="24" s="1"/>
  <c r="P3" i="24" a="1"/>
  <c r="P3" i="24" s="1"/>
  <c r="E3" i="24" a="1"/>
  <c r="E3" i="24" s="1"/>
  <c r="K2" i="23" a="1"/>
  <c r="K2" i="23" s="1"/>
  <c r="AB2" i="23" a="1"/>
  <c r="AB2" i="23" s="1"/>
  <c r="AE2" i="23" a="1"/>
  <c r="AE2" i="23" s="1"/>
  <c r="AF6" i="23" a="1"/>
  <c r="AF6" i="23" s="1"/>
  <c r="V6" i="23" a="1"/>
  <c r="V6" i="23" s="1"/>
  <c r="K6" i="23" a="1"/>
  <c r="K6" i="23" s="1"/>
  <c r="AH5" i="23" a="1"/>
  <c r="AH5" i="23" s="1"/>
  <c r="X5" i="23" a="1"/>
  <c r="X5" i="23" s="1"/>
  <c r="N5" i="23" a="1"/>
  <c r="N5" i="23" s="1"/>
  <c r="AJ4" i="23" a="1"/>
  <c r="AJ4" i="23" s="1"/>
  <c r="Z4" i="23" a="1"/>
  <c r="Z4" i="23" s="1"/>
  <c r="P4" i="23" a="1"/>
  <c r="P4" i="23" s="1"/>
  <c r="E4" i="23" a="1"/>
  <c r="E4" i="23" s="1"/>
  <c r="AB3" i="23" a="1"/>
  <c r="AB3" i="23" s="1"/>
  <c r="R3" i="23" a="1"/>
  <c r="R3" i="23" s="1"/>
  <c r="G3" i="23" a="1"/>
  <c r="G3" i="23" s="1"/>
  <c r="T2" i="24" a="1"/>
  <c r="T2" i="24" s="1"/>
  <c r="I2" i="24" a="1"/>
  <c r="I2" i="24" s="1"/>
  <c r="AE2" i="24" a="1"/>
  <c r="AE2" i="24" s="1"/>
  <c r="AA7" i="24" a="1"/>
  <c r="AA7" i="24" s="1"/>
  <c r="Q7" i="24" a="1"/>
  <c r="Q7" i="24" s="1"/>
  <c r="F7" i="24" a="1"/>
  <c r="F7" i="24" s="1"/>
  <c r="AC6" i="24" a="1"/>
  <c r="AC6" i="24" s="1"/>
  <c r="S6" i="24" a="1"/>
  <c r="S6" i="24" s="1"/>
  <c r="H6" i="24" a="1"/>
  <c r="H6" i="24" s="1"/>
  <c r="AE5" i="24" a="1"/>
  <c r="AE5" i="24" s="1"/>
  <c r="U5" i="24" a="1"/>
  <c r="U5" i="24" s="1"/>
  <c r="J5" i="24" a="1"/>
  <c r="J5" i="24" s="1"/>
  <c r="AG4" i="24" a="1"/>
  <c r="AG4" i="24" s="1"/>
  <c r="W4" i="24" a="1"/>
  <c r="W4" i="24" s="1"/>
  <c r="M4" i="24" a="1"/>
  <c r="M4" i="24" s="1"/>
  <c r="AI3" i="24" a="1"/>
  <c r="AI3" i="24" s="1"/>
  <c r="Y3" i="24" a="1"/>
  <c r="Y3" i="24" s="1"/>
  <c r="O3" i="24" a="1"/>
  <c r="O3" i="24" s="1"/>
  <c r="J2" i="23" a="1"/>
  <c r="J2" i="23" s="1"/>
  <c r="AD2" i="23" a="1"/>
  <c r="AD2" i="23" s="1"/>
  <c r="U6" i="23" a="1"/>
  <c r="U6" i="23" s="1"/>
  <c r="AG5" i="23" a="1"/>
  <c r="AG5" i="23" s="1"/>
  <c r="M5" i="23" a="1"/>
  <c r="M5" i="23" s="1"/>
  <c r="AI4" i="23" a="1"/>
  <c r="AI4" i="23" s="1"/>
  <c r="Y4" i="23" a="1"/>
  <c r="Y4" i="23" s="1"/>
  <c r="O4" i="23" a="1"/>
  <c r="O4" i="23" s="1"/>
  <c r="AA3" i="23" a="1"/>
  <c r="AA3" i="23" s="1"/>
  <c r="Q3" i="23" a="1"/>
  <c r="Q3" i="23" s="1"/>
  <c r="F3" i="23" a="1"/>
  <c r="F3" i="23" s="1"/>
  <c r="S2" i="24" a="1"/>
  <c r="S2" i="24" s="1"/>
  <c r="H2" i="24" a="1"/>
  <c r="H2" i="24" s="1"/>
  <c r="AD2" i="24" a="1"/>
  <c r="AD2" i="24" s="1"/>
  <c r="AJ7" i="24" a="1"/>
  <c r="AJ7" i="24" s="1"/>
  <c r="Z7" i="24" a="1"/>
  <c r="Z7" i="24" s="1"/>
  <c r="P7" i="24" a="1"/>
  <c r="P7" i="24" s="1"/>
  <c r="E7" i="24" a="1"/>
  <c r="E7" i="24" s="1"/>
  <c r="AB6" i="24" a="1"/>
  <c r="AB6" i="24" s="1"/>
  <c r="R6" i="24" a="1"/>
  <c r="R6" i="24" s="1"/>
  <c r="G6" i="24" a="1"/>
  <c r="G6" i="24" s="1"/>
  <c r="AD5" i="24" a="1"/>
  <c r="AD5" i="24" s="1"/>
  <c r="T5" i="24" a="1"/>
  <c r="T5" i="24" s="1"/>
  <c r="I5" i="24" a="1"/>
  <c r="I5" i="24" s="1"/>
  <c r="AF4" i="24" a="1"/>
  <c r="AF4" i="24" s="1"/>
  <c r="V4" i="24" a="1"/>
  <c r="V4" i="24" s="1"/>
  <c r="K4" i="24" a="1"/>
  <c r="K4" i="24" s="1"/>
  <c r="AH3" i="24" a="1"/>
  <c r="AH3" i="24" s="1"/>
  <c r="X3" i="24" a="1"/>
  <c r="X3" i="24" s="1"/>
  <c r="N3" i="24" a="1"/>
  <c r="N3" i="24" s="1"/>
  <c r="AL5" i="20" a="1"/>
  <c r="AL5" i="20" s="1"/>
  <c r="AL4" i="20" a="1"/>
  <c r="AL4" i="20" s="1"/>
  <c r="AL2" i="20" a="1"/>
  <c r="AL2" i="20" s="1"/>
  <c r="AL6" i="20" a="1"/>
  <c r="AL6" i="20" s="1"/>
  <c r="AL3" i="20" a="1"/>
  <c r="AL3" i="20" s="1"/>
  <c r="W4" i="20" a="1"/>
  <c r="W4" i="20" s="1"/>
  <c r="AE3" i="20" a="1"/>
  <c r="AE3" i="20" s="1"/>
  <c r="AF4" i="20" a="1"/>
  <c r="AF4" i="20" s="1"/>
  <c r="AI6" i="20" a="1"/>
  <c r="AI6" i="20" s="1"/>
  <c r="M5" i="20" a="1"/>
  <c r="M5" i="20" s="1"/>
  <c r="AF3" i="20" a="1"/>
  <c r="AF3" i="20" s="1"/>
  <c r="Q3" i="20" a="1"/>
  <c r="Q3" i="20" s="1"/>
  <c r="AF6" i="20" a="1"/>
  <c r="AF6" i="20" s="1"/>
  <c r="AA5" i="20" a="1"/>
  <c r="AA5" i="20" s="1"/>
  <c r="AG5" i="20" a="1"/>
  <c r="AG5" i="20" s="1"/>
  <c r="P2" i="20" a="1"/>
  <c r="P2" i="20" s="1"/>
  <c r="S3" i="20" a="1"/>
  <c r="S3" i="20" s="1"/>
  <c r="X4" i="20" a="1"/>
  <c r="X4" i="20" s="1"/>
  <c r="T4" i="20" a="1"/>
  <c r="T4" i="20" s="1"/>
  <c r="P5" i="20" a="1"/>
  <c r="P5" i="20" s="1"/>
  <c r="P3" i="20" a="1"/>
  <c r="P3" i="20" s="1"/>
  <c r="AB5" i="20" a="1"/>
  <c r="AB5" i="20" s="1"/>
  <c r="E5" i="20" l="1" a="1"/>
  <c r="E5" i="20" s="1"/>
  <c r="T2" i="20" a="1"/>
  <c r="T2" i="20" s="1"/>
  <c r="M2" i="20" a="1"/>
  <c r="M2" i="20" s="1"/>
  <c r="Z5" i="20" a="1"/>
  <c r="Z5" i="20" s="1"/>
  <c r="W5" i="20" a="1"/>
  <c r="W5" i="20" s="1"/>
  <c r="H3" i="20" a="1"/>
  <c r="H3" i="20" s="1"/>
  <c r="M6" i="20" a="1"/>
  <c r="M6" i="20" s="1"/>
  <c r="AE2" i="20" a="1"/>
  <c r="AE2" i="20" s="1"/>
  <c r="I2" i="20" a="1"/>
  <c r="I2" i="20" s="1"/>
  <c r="U4" i="20" a="1"/>
  <c r="U4" i="20" s="1"/>
  <c r="AI5" i="20" a="1"/>
  <c r="AI5" i="20" s="1"/>
  <c r="E2" i="23" a="1"/>
  <c r="E2" i="23" s="1"/>
  <c r="W2" i="20" a="1"/>
  <c r="W2" i="20" s="1"/>
  <c r="M3" i="20" a="1"/>
  <c r="M3" i="20" s="1"/>
  <c r="U3" i="20" a="1"/>
  <c r="U3" i="20" s="1"/>
  <c r="I4" i="20" a="1"/>
  <c r="I4" i="20" s="1"/>
  <c r="AC3" i="20" a="1"/>
  <c r="AC3" i="20" s="1"/>
  <c r="AE4" i="20" a="1"/>
  <c r="AE4" i="20" s="1"/>
  <c r="N4" i="20" a="1"/>
  <c r="N4" i="20" s="1"/>
  <c r="F5" i="20" a="1"/>
  <c r="F5" i="20" s="1"/>
  <c r="S6" i="20" a="1"/>
  <c r="S6" i="20" s="1"/>
  <c r="S2" i="20" a="1"/>
  <c r="S2" i="20" s="1"/>
  <c r="R2" i="20" a="1"/>
  <c r="R2" i="20" s="1"/>
  <c r="J3" i="20" a="1"/>
  <c r="J3" i="20" s="1"/>
  <c r="I5" i="20" a="1"/>
  <c r="I5" i="20" s="1"/>
  <c r="F3" i="20" a="1"/>
  <c r="F3" i="20" s="1"/>
  <c r="X3" i="20" a="1"/>
  <c r="X3" i="20" s="1"/>
  <c r="AC2" i="20" a="1"/>
  <c r="AC2" i="20" s="1"/>
  <c r="AF2" i="20" a="1"/>
  <c r="AF2" i="20" s="1"/>
  <c r="J6" i="20" a="1"/>
  <c r="J6" i="20" s="1"/>
  <c r="E4" i="20" a="1"/>
  <c r="E4" i="20" s="1"/>
  <c r="G4" i="20" a="1"/>
  <c r="G4" i="20" s="1"/>
  <c r="AH2" i="20" a="1"/>
  <c r="AH2" i="20" s="1"/>
  <c r="Z2" i="20" a="1"/>
  <c r="Z2" i="20" s="1"/>
  <c r="I3" i="20" a="1"/>
  <c r="I3" i="20" s="1"/>
  <c r="X5" i="20" a="1"/>
  <c r="X5" i="20" s="1"/>
  <c r="AC6" i="20" a="1"/>
  <c r="AC6" i="20" s="1"/>
  <c r="U5" i="20" a="1"/>
  <c r="U5" i="20" s="1"/>
  <c r="AH6" i="20" a="1"/>
  <c r="AH6" i="20" s="1"/>
  <c r="P6" i="20" a="1"/>
  <c r="P6" i="20" s="1"/>
  <c r="AG3" i="20" a="1"/>
  <c r="AG3" i="20" s="1"/>
  <c r="F6" i="20" a="1"/>
  <c r="F6" i="20" s="1"/>
  <c r="X2" i="20" a="1"/>
  <c r="X2" i="20" s="1"/>
  <c r="AA6" i="20" a="1"/>
  <c r="AA6" i="20" s="1"/>
  <c r="O6" i="20" a="1"/>
  <c r="O6" i="20" s="1"/>
  <c r="Q6" i="20" a="1"/>
  <c r="Q6" i="20" s="1"/>
  <c r="AI3" i="20" a="1"/>
  <c r="AI3" i="20" s="1"/>
  <c r="AB4" i="20" a="1"/>
  <c r="AB4" i="20" s="1"/>
  <c r="AA2" i="20" a="1"/>
  <c r="AA2" i="20" s="1"/>
  <c r="AH3" i="20" a="1"/>
  <c r="AH3" i="20" s="1"/>
  <c r="O4" i="20" a="1"/>
  <c r="O4" i="20" s="1"/>
  <c r="Y6" i="20" a="1"/>
  <c r="Y6" i="20" s="1"/>
  <c r="V5" i="20" a="1"/>
  <c r="V5" i="20" s="1"/>
  <c r="Y4" i="20" a="1"/>
  <c r="Y4" i="20" s="1"/>
  <c r="Q4" i="20" a="1"/>
  <c r="Q4" i="20" s="1"/>
  <c r="G5" i="20" a="1"/>
  <c r="G5" i="20" s="1"/>
  <c r="Z3" i="20" a="1"/>
  <c r="Z3" i="20" s="1"/>
  <c r="R4" i="20" a="1"/>
  <c r="R4" i="20" s="1"/>
  <c r="Q5" i="20" a="1"/>
  <c r="Q5" i="20" s="1"/>
  <c r="O5" i="20" a="1"/>
  <c r="O5" i="20" s="1"/>
  <c r="U6" i="20" a="1"/>
  <c r="U6" i="20" s="1"/>
  <c r="AG4" i="20" a="1"/>
  <c r="AG4" i="20" s="1"/>
  <c r="AG2" i="20" a="1"/>
  <c r="AG2" i="20" s="1"/>
  <c r="H6" i="20" a="1"/>
  <c r="H6" i="20" s="1"/>
  <c r="AC4" i="20" a="1"/>
  <c r="AC4" i="20" s="1"/>
  <c r="S5" i="20" a="1"/>
  <c r="S5" i="20" s="1"/>
  <c r="G3" i="20" a="1"/>
  <c r="G3" i="20" s="1"/>
  <c r="V6" i="20" a="1"/>
  <c r="V6" i="20" s="1"/>
  <c r="O3" i="20" a="1"/>
  <c r="O3" i="20" s="1"/>
  <c r="O2" i="20" a="1"/>
  <c r="O2" i="20" s="1"/>
  <c r="AB6" i="20" a="1"/>
  <c r="AB6" i="20" s="1"/>
  <c r="Y5" i="20" a="1"/>
  <c r="Y5" i="20" s="1"/>
  <c r="AI4" i="20" a="1"/>
  <c r="AI4" i="20" s="1"/>
  <c r="P4" i="20" a="1"/>
  <c r="P4" i="20" s="1"/>
  <c r="J4" i="20" a="1"/>
  <c r="J4" i="20" s="1"/>
  <c r="AA3" i="20" a="1"/>
  <c r="AA3" i="20" s="1"/>
  <c r="AB2" i="20" a="1"/>
  <c r="AB2" i="20" s="1"/>
  <c r="W3" i="20" a="1"/>
  <c r="W3" i="20" s="1"/>
  <c r="H5" i="20" a="1"/>
  <c r="H5" i="20" s="1"/>
  <c r="Z4" i="20" a="1"/>
  <c r="Z4" i="20" s="1"/>
  <c r="AJ2" i="20" a="1"/>
  <c r="AJ2" i="20" s="1"/>
  <c r="AD5" i="20" a="1"/>
  <c r="AD5" i="20" s="1"/>
  <c r="X6" i="20" a="1"/>
  <c r="X6" i="20" s="1"/>
  <c r="AF5" i="20" a="1"/>
  <c r="AF5" i="20" s="1"/>
  <c r="AI2" i="20" a="1"/>
  <c r="AI2" i="20" s="1"/>
  <c r="AC5" i="20" a="1"/>
  <c r="AC5" i="20" s="1"/>
  <c r="AJ3" i="20" a="1"/>
  <c r="AJ3" i="20" s="1"/>
  <c r="N5" i="20" a="1"/>
  <c r="N5" i="20" s="1"/>
  <c r="V2" i="20" a="1"/>
  <c r="V2" i="20" s="1"/>
  <c r="AD4" i="20" a="1"/>
  <c r="AD4" i="20" s="1"/>
  <c r="E6" i="20" a="1"/>
  <c r="E6" i="20" s="1"/>
  <c r="Q2" i="20" a="1"/>
  <c r="Q2" i="20" s="1"/>
  <c r="G2" i="20" a="1"/>
  <c r="G2" i="20" s="1"/>
  <c r="R6" i="20" a="1"/>
  <c r="R6" i="20" s="1"/>
  <c r="T3" i="20" a="1"/>
  <c r="T3" i="20" s="1"/>
  <c r="Y3" i="20" a="1"/>
  <c r="Y3" i="20" s="1"/>
  <c r="J5" i="20" a="1"/>
  <c r="J5" i="20" s="1"/>
  <c r="AH4" i="20" a="1"/>
  <c r="AH4" i="20" s="1"/>
  <c r="T6" i="20" a="1"/>
  <c r="T6" i="20" s="1"/>
  <c r="V4" i="20" a="1"/>
  <c r="V4" i="20" s="1"/>
  <c r="U2" i="20" a="1"/>
  <c r="U2" i="20" s="1"/>
  <c r="V3" i="20" a="1"/>
  <c r="V3" i="20" s="1"/>
  <c r="I6" i="20" a="1"/>
  <c r="I6" i="20" s="1"/>
  <c r="R5" i="20" a="1"/>
  <c r="R5" i="20" s="1"/>
  <c r="AB3" i="20" a="1"/>
  <c r="AB3" i="20" s="1"/>
  <c r="Y2" i="20" a="1"/>
  <c r="Y2" i="20" s="1"/>
  <c r="AE5" i="20" a="1"/>
  <c r="AE5" i="20" s="1"/>
  <c r="J2" i="20" a="1"/>
  <c r="J2" i="20" s="1"/>
  <c r="AJ5" i="20" a="1"/>
  <c r="AJ5" i="20" s="1"/>
  <c r="N6" i="20" a="1"/>
  <c r="N6" i="20" s="1"/>
  <c r="F2" i="20" a="1"/>
  <c r="F2" i="20" s="1"/>
  <c r="E3" i="20" a="1"/>
  <c r="E3" i="20" s="1"/>
  <c r="AD3" i="20" a="1"/>
  <c r="AD3" i="20" s="1"/>
  <c r="AH5" i="20" a="1"/>
  <c r="AH5" i="20" s="1"/>
  <c r="T5" i="20" a="1"/>
  <c r="T5" i="20" s="1"/>
  <c r="S4" i="20" a="1"/>
  <c r="S4" i="20" s="1"/>
  <c r="G6" i="20" a="1"/>
  <c r="G6" i="20" s="1"/>
  <c r="F4" i="20" a="1"/>
  <c r="F4" i="20" s="1"/>
  <c r="N3" i="20" a="1"/>
  <c r="N3" i="20" s="1"/>
  <c r="AJ6" i="20" a="1"/>
  <c r="AJ6" i="20" s="1"/>
  <c r="M4" i="20" a="1"/>
  <c r="M4" i="20" s="1"/>
  <c r="AE6" i="20" a="1"/>
  <c r="AE6" i="20" s="1"/>
  <c r="Z6" i="20" a="1"/>
  <c r="Z6" i="20" s="1"/>
  <c r="R3" i="20" a="1"/>
  <c r="R3" i="20" s="1"/>
  <c r="N2" i="20" a="1"/>
  <c r="N2" i="20" s="1"/>
  <c r="H4" i="20" a="1"/>
  <c r="H4" i="20" s="1"/>
  <c r="AJ4" i="20" a="1"/>
  <c r="AJ4" i="20" s="1"/>
  <c r="AA4" i="20" a="1"/>
  <c r="AA4" i="20" s="1"/>
  <c r="AD2" i="20" a="1"/>
  <c r="AD2" i="20" s="1"/>
  <c r="W6" i="20" a="1"/>
  <c r="W6" i="20" s="1"/>
  <c r="AG6" i="20" a="1"/>
  <c r="AG6" i="20" s="1"/>
  <c r="AD6" i="20" a="1"/>
  <c r="AD6" i="20" s="1"/>
  <c r="H2" i="20" a="1"/>
  <c r="H2" i="20" s="1"/>
  <c r="AE2" i="19" a="1"/>
  <c r="AE2" i="19" s="1"/>
  <c r="AA2" i="19" a="1"/>
  <c r="AA2" i="19" s="1"/>
  <c r="N2" i="19" a="1"/>
  <c r="N2" i="19" s="1"/>
  <c r="AG2" i="19" a="1"/>
  <c r="AG2" i="19" s="1"/>
  <c r="O2" i="19" a="1"/>
  <c r="O2" i="19" s="1"/>
  <c r="AF2" i="19" a="1"/>
  <c r="AF2" i="19" s="1"/>
  <c r="G2" i="19" a="1"/>
  <c r="G2" i="19" s="1"/>
  <c r="I2" i="19" a="1"/>
  <c r="I2" i="19" s="1"/>
  <c r="AD2" i="19" a="1"/>
  <c r="AD2" i="19" s="1"/>
  <c r="AH2" i="19" a="1"/>
  <c r="AH2" i="19" s="1"/>
  <c r="F2" i="19" a="1"/>
  <c r="F2" i="19" s="1"/>
  <c r="Z2" i="19" a="1"/>
  <c r="Z2" i="19" s="1"/>
  <c r="T2" i="19" a="1"/>
  <c r="T2" i="19" s="1"/>
  <c r="J2" i="19" a="1"/>
  <c r="J2" i="19" s="1"/>
  <c r="M2" i="19" a="1"/>
  <c r="M2" i="19" s="1"/>
  <c r="H2" i="19" a="1"/>
  <c r="H2" i="19" s="1"/>
  <c r="W2" i="19" a="1"/>
  <c r="W2" i="19" s="1"/>
  <c r="Q2" i="19" a="1"/>
  <c r="Q2" i="19" s="1"/>
  <c r="U2" i="19" a="1"/>
  <c r="U2" i="19" s="1"/>
  <c r="AI2" i="19" a="1"/>
  <c r="AI2" i="19" s="1"/>
  <c r="AC2" i="19" a="1"/>
  <c r="AC2" i="19" s="1"/>
  <c r="AJ2" i="19" a="1"/>
  <c r="AJ2" i="19" s="1"/>
  <c r="R2" i="19" a="1"/>
  <c r="R2" i="19" s="1"/>
  <c r="X2" i="19" a="1"/>
  <c r="X2" i="19" s="1"/>
  <c r="AL2" i="19" a="1"/>
  <c r="AL2" i="19" s="1"/>
  <c r="Y2" i="19" a="1"/>
  <c r="Y2" i="19" s="1"/>
  <c r="AB2" i="19" a="1"/>
  <c r="AB2" i="19" s="1"/>
  <c r="P2" i="19" a="1"/>
  <c r="P2" i="19" s="1"/>
  <c r="V2" i="19" a="1"/>
  <c r="V2" i="19" s="1"/>
  <c r="B2" i="19" a="1"/>
  <c r="B2" i="19" s="1"/>
  <c r="S2" i="19" a="1"/>
  <c r="S2" i="19" s="1"/>
  <c r="AL4" i="19" a="1"/>
  <c r="AL4" i="19" s="1"/>
  <c r="AF4" i="19" a="1"/>
  <c r="AF4" i="19" s="1"/>
  <c r="AE4" i="19" a="1"/>
  <c r="AE4" i="19" s="1"/>
  <c r="Z4" i="19" a="1"/>
  <c r="Z4" i="19" s="1"/>
  <c r="AA4" i="19" a="1"/>
  <c r="AA4" i="19" s="1"/>
  <c r="P4" i="19" a="1"/>
  <c r="P4" i="19" s="1"/>
  <c r="Q4" i="19" a="1"/>
  <c r="Q4" i="19" s="1"/>
  <c r="F4" i="19" a="1"/>
  <c r="F4" i="19" s="1"/>
  <c r="O4" i="19" a="1"/>
  <c r="O4" i="19" s="1"/>
  <c r="H4" i="19" a="1"/>
  <c r="H4" i="19" s="1"/>
  <c r="AD4" i="19" a="1"/>
  <c r="AD4" i="19" s="1"/>
  <c r="AB4" i="19" a="1"/>
  <c r="AB4" i="19" s="1"/>
  <c r="AC4" i="19" a="1"/>
  <c r="AC4" i="19" s="1"/>
  <c r="AH4" i="19" a="1"/>
  <c r="AH4" i="19" s="1"/>
  <c r="U4" i="19" a="1"/>
  <c r="U4" i="19" s="1"/>
  <c r="X4" i="19" a="1"/>
  <c r="X4" i="19" s="1"/>
  <c r="M4" i="19" a="1"/>
  <c r="M4" i="19" s="1"/>
  <c r="N4" i="19" a="1"/>
  <c r="N4" i="19" s="1"/>
  <c r="V4" i="19" a="1"/>
  <c r="V4" i="19" s="1"/>
  <c r="T4" i="19" a="1"/>
  <c r="T4" i="19" s="1"/>
  <c r="Y4" i="19" a="1"/>
  <c r="Y4" i="19" s="1"/>
  <c r="S4" i="19" a="1"/>
  <c r="S4" i="19" s="1"/>
  <c r="AG4" i="19" a="1"/>
  <c r="AG4" i="19" s="1"/>
  <c r="R4" i="19" a="1"/>
  <c r="R4" i="19" s="1"/>
  <c r="AJ4" i="19" a="1"/>
  <c r="AJ4" i="19" s="1"/>
  <c r="AI4" i="19" a="1"/>
  <c r="AI4" i="19" s="1"/>
  <c r="W4" i="19" a="1"/>
  <c r="W4" i="19" s="1"/>
  <c r="B4" i="19" a="1"/>
  <c r="B4" i="19" s="1"/>
  <c r="G4" i="19" a="1"/>
  <c r="G4" i="19" s="1"/>
  <c r="AJ3" i="19" a="1"/>
  <c r="AJ3" i="19" s="1"/>
  <c r="AD3" i="19" a="1"/>
  <c r="AD3" i="19" s="1"/>
  <c r="Q3" i="19" a="1"/>
  <c r="Q3" i="19" s="1"/>
  <c r="V3" i="19" a="1"/>
  <c r="V3" i="19" s="1"/>
  <c r="AC3" i="19" a="1"/>
  <c r="AC3" i="19" s="1"/>
  <c r="U3" i="19" a="1"/>
  <c r="U3" i="19" s="1"/>
  <c r="N3" i="19" a="1"/>
  <c r="N3" i="19" s="1"/>
  <c r="S3" i="19" a="1"/>
  <c r="S3" i="19" s="1"/>
  <c r="T3" i="19" a="1"/>
  <c r="T3" i="19" s="1"/>
  <c r="AF3" i="19" a="1"/>
  <c r="AF3" i="19" s="1"/>
  <c r="H3" i="19" a="1"/>
  <c r="H3" i="19" s="1"/>
  <c r="AL3" i="19" a="1"/>
  <c r="AL3" i="19" s="1"/>
  <c r="R3" i="19" a="1"/>
  <c r="R3" i="19" s="1"/>
  <c r="AI3" i="19" a="1"/>
  <c r="AI3" i="19" s="1"/>
  <c r="AG3" i="19" a="1"/>
  <c r="AG3" i="19" s="1"/>
  <c r="Z3" i="19" a="1"/>
  <c r="Z3" i="19" s="1"/>
  <c r="W3" i="19" a="1"/>
  <c r="W3" i="19" s="1"/>
  <c r="Y3" i="19" a="1"/>
  <c r="Y3" i="19" s="1"/>
  <c r="F3" i="19" a="1"/>
  <c r="F3" i="19" s="1"/>
  <c r="X3" i="19" a="1"/>
  <c r="X3" i="19" s="1"/>
  <c r="G3" i="19" a="1"/>
  <c r="G3" i="19" s="1"/>
  <c r="AB3" i="19" a="1"/>
  <c r="AB3" i="19" s="1"/>
  <c r="AH3" i="19" a="1"/>
  <c r="AH3" i="19" s="1"/>
  <c r="AA3" i="19" a="1"/>
  <c r="AA3" i="19" s="1"/>
  <c r="AE3" i="19" a="1"/>
  <c r="AE3" i="19" s="1"/>
  <c r="M3" i="19" a="1"/>
  <c r="M3" i="19" s="1"/>
  <c r="O3" i="19" a="1"/>
  <c r="O3" i="19" s="1"/>
  <c r="B3" i="19" a="1"/>
  <c r="B3" i="19" s="1"/>
  <c r="P3" i="19" a="1"/>
  <c r="P3" i="19" s="1"/>
  <c r="AD5" i="32" a="1"/>
  <c r="AD5" i="32" s="1"/>
  <c r="X5" i="32" a="1"/>
  <c r="X5" i="32" s="1"/>
  <c r="AA5" i="32" a="1"/>
  <c r="AA5" i="32" s="1"/>
  <c r="AI5" i="32" a="1"/>
  <c r="AI5" i="32" s="1"/>
  <c r="AL5" i="32" a="1"/>
  <c r="AL5" i="32" s="1"/>
  <c r="T5" i="32" a="1"/>
  <c r="T5" i="32" s="1"/>
  <c r="AH5" i="32" a="1"/>
  <c r="AH5" i="32" s="1"/>
  <c r="AJ5" i="32" a="1"/>
  <c r="AJ5" i="32" s="1"/>
  <c r="Y5" i="32" a="1"/>
  <c r="Y5" i="32" s="1"/>
  <c r="Z5" i="32" a="1"/>
  <c r="Z5" i="32" s="1"/>
  <c r="O5" i="32" a="1"/>
  <c r="O5" i="32" s="1"/>
  <c r="AG5" i="32" a="1"/>
  <c r="AG5" i="32" s="1"/>
  <c r="P5" i="32" a="1"/>
  <c r="P5" i="32" s="1"/>
  <c r="W5" i="32" a="1"/>
  <c r="W5" i="32" s="1"/>
  <c r="AF5" i="32" a="1"/>
  <c r="AF5" i="32" s="1"/>
  <c r="M5" i="32" a="1"/>
  <c r="M5" i="32" s="1"/>
  <c r="V5" i="32" a="1"/>
  <c r="V5" i="32" s="1"/>
  <c r="AE5" i="32" a="1"/>
  <c r="AE5" i="32" s="1"/>
  <c r="AM5" i="32" a="1"/>
  <c r="AM5" i="32" s="1"/>
  <c r="Q5" i="32" a="1"/>
  <c r="Q5" i="32" s="1"/>
  <c r="L5" i="32" a="1"/>
  <c r="L5" i="32" s="1"/>
  <c r="U5" i="32" a="1"/>
  <c r="U5" i="32" s="1"/>
  <c r="AB5" i="32" a="1"/>
  <c r="AB5" i="32" s="1"/>
  <c r="S5" i="32" a="1"/>
  <c r="S5" i="32" s="1"/>
  <c r="N5" i="32" a="1"/>
  <c r="N5" i="32" s="1"/>
  <c r="R5" i="32" a="1"/>
  <c r="R5" i="32" s="1"/>
  <c r="AK5" i="32" a="1"/>
  <c r="AK5" i="32" s="1"/>
  <c r="AC5" i="32" a="1"/>
  <c r="AC5" i="32" s="1"/>
  <c r="L11" i="32" a="1"/>
  <c r="L11" i="32" s="1"/>
  <c r="V11" i="32" a="1"/>
  <c r="V11" i="32" s="1"/>
  <c r="AE11" i="32" a="1"/>
  <c r="AE11" i="32" s="1"/>
  <c r="O11" i="32" a="1"/>
  <c r="O11" i="32" s="1"/>
  <c r="AC11" i="32" a="1"/>
  <c r="AC11" i="32" s="1"/>
  <c r="AF11" i="32" a="1"/>
  <c r="AF11" i="32" s="1"/>
  <c r="P11" i="32" a="1"/>
  <c r="P11" i="32" s="1"/>
  <c r="Y11" i="32" a="1"/>
  <c r="Y11" i="32" s="1"/>
  <c r="M11" i="32" a="1"/>
  <c r="M11" i="32" s="1"/>
  <c r="Z11" i="32" a="1"/>
  <c r="Z11" i="32" s="1"/>
  <c r="AI11" i="32" a="1"/>
  <c r="AI11" i="32" s="1"/>
  <c r="W11" i="32" a="1"/>
  <c r="W11" i="32" s="1"/>
  <c r="AJ11" i="32" a="1"/>
  <c r="AJ11" i="32" s="1"/>
  <c r="AM11" i="32" a="1"/>
  <c r="AM11" i="32" s="1"/>
  <c r="AG11" i="32" a="1"/>
  <c r="AG11" i="32" s="1"/>
  <c r="Q11" i="32" a="1"/>
  <c r="Q11" i="32" s="1"/>
  <c r="T11" i="32" a="1"/>
  <c r="T11" i="32" s="1"/>
  <c r="N11" i="32" a="1"/>
  <c r="N11" i="32" s="1"/>
  <c r="AA11" i="32" a="1"/>
  <c r="AA11" i="32" s="1"/>
  <c r="R11" i="32" a="1"/>
  <c r="R11" i="32" s="1"/>
  <c r="AD11" i="32" a="1"/>
  <c r="AD11" i="32" s="1"/>
  <c r="X11" i="32" a="1"/>
  <c r="X11" i="32" s="1"/>
  <c r="AB11" i="32" a="1"/>
  <c r="AB11" i="32" s="1"/>
  <c r="U11" i="32" a="1"/>
  <c r="U11" i="32" s="1"/>
  <c r="AH11" i="32" a="1"/>
  <c r="AH11" i="32" s="1"/>
  <c r="AK11" i="32" a="1"/>
  <c r="AK11" i="32" s="1"/>
  <c r="S11" i="32" a="1"/>
  <c r="S11" i="32" s="1"/>
  <c r="AE8" i="32" a="1"/>
  <c r="AE8" i="32" s="1"/>
  <c r="R8" i="32" a="1"/>
  <c r="R8" i="32" s="1"/>
  <c r="AJ8" i="32" a="1"/>
  <c r="AJ8" i="32" s="1"/>
  <c r="U8" i="32" a="1"/>
  <c r="U8" i="32" s="1"/>
  <c r="AL8" i="32" a="1"/>
  <c r="AL8" i="32" s="1"/>
  <c r="T8" i="32" a="1"/>
  <c r="T8" i="32" s="1"/>
  <c r="O8" i="32" a="1"/>
  <c r="O8" i="32" s="1"/>
  <c r="Z8" i="32" a="1"/>
  <c r="Z8" i="32" s="1"/>
  <c r="AM8" i="32" a="1"/>
  <c r="AM8" i="32" s="1"/>
  <c r="AD8" i="32" a="1"/>
  <c r="AD8" i="32" s="1"/>
  <c r="AA8" i="32" a="1"/>
  <c r="AA8" i="32" s="1"/>
  <c r="P8" i="32" a="1"/>
  <c r="P8" i="32" s="1"/>
  <c r="AH8" i="32" a="1"/>
  <c r="AH8" i="32" s="1"/>
  <c r="Q8" i="32" a="1"/>
  <c r="Q8" i="32" s="1"/>
  <c r="X8" i="32" a="1"/>
  <c r="X8" i="32" s="1"/>
  <c r="AG8" i="32" a="1"/>
  <c r="AG8" i="32" s="1"/>
  <c r="AF8" i="32" a="1"/>
  <c r="AF8" i="32" s="1"/>
  <c r="N8" i="32" a="1"/>
  <c r="N8" i="32" s="1"/>
  <c r="W8" i="32" a="1"/>
  <c r="W8" i="32" s="1"/>
  <c r="V8" i="32" a="1"/>
  <c r="V8" i="32" s="1"/>
  <c r="AC8" i="32" a="1"/>
  <c r="AC8" i="32" s="1"/>
  <c r="Y8" i="32" a="1"/>
  <c r="Y8" i="32" s="1"/>
  <c r="AB8" i="32" a="1"/>
  <c r="AB8" i="32" s="1"/>
  <c r="M8" i="32" a="1"/>
  <c r="M8" i="32" s="1"/>
  <c r="L8" i="32" a="1"/>
  <c r="L8" i="32" s="1"/>
  <c r="S8" i="32" a="1"/>
  <c r="S8" i="32" s="1"/>
  <c r="AK8" i="32" a="1"/>
  <c r="AK8" i="32" s="1"/>
  <c r="AI8" i="32" a="1"/>
  <c r="AI8" i="32" s="1"/>
  <c r="U10" i="32" a="1"/>
  <c r="U10" i="32" s="1"/>
  <c r="AM10" i="32" a="1"/>
  <c r="AM10" i="32" s="1"/>
  <c r="S10" i="32" a="1"/>
  <c r="S10" i="32" s="1"/>
  <c r="AB10" i="32" a="1"/>
  <c r="AB10" i="32" s="1"/>
  <c r="AJ10" i="32" a="1"/>
  <c r="AJ10" i="32" s="1"/>
  <c r="AG10" i="32" a="1"/>
  <c r="AG10" i="32" s="1"/>
  <c r="N10" i="32" a="1"/>
  <c r="N10" i="32" s="1"/>
  <c r="R10" i="32" a="1"/>
  <c r="R10" i="32" s="1"/>
  <c r="AA10" i="32" a="1"/>
  <c r="AA10" i="32" s="1"/>
  <c r="Z10" i="32" a="1"/>
  <c r="Z10" i="32" s="1"/>
  <c r="W10" i="32" a="1"/>
  <c r="W10" i="32" s="1"/>
  <c r="AF10" i="32" a="1"/>
  <c r="AF10" i="32" s="1"/>
  <c r="Q10" i="32" a="1"/>
  <c r="Q10" i="32" s="1"/>
  <c r="P10" i="32" a="1"/>
  <c r="P10" i="32" s="1"/>
  <c r="M10" i="32" a="1"/>
  <c r="M10" i="32" s="1"/>
  <c r="V10" i="32" a="1"/>
  <c r="V10" i="32" s="1"/>
  <c r="X10" i="32" a="1"/>
  <c r="X10" i="32" s="1"/>
  <c r="AC10" i="32" a="1"/>
  <c r="AC10" i="32" s="1"/>
  <c r="AI10" i="32" a="1"/>
  <c r="AI10" i="32" s="1"/>
  <c r="AL10" i="32" a="1"/>
  <c r="AL10" i="32" s="1"/>
  <c r="AH10" i="32" a="1"/>
  <c r="AH10" i="32" s="1"/>
  <c r="Y10" i="32" a="1"/>
  <c r="Y10" i="32" s="1"/>
  <c r="L10" i="32" a="1"/>
  <c r="L10" i="32" s="1"/>
  <c r="AD10" i="32" a="1"/>
  <c r="AD10" i="32" s="1"/>
  <c r="O10" i="32" a="1"/>
  <c r="O10" i="32" s="1"/>
  <c r="AE10" i="32" a="1"/>
  <c r="AE10" i="32" s="1"/>
  <c r="AK10" i="32" a="1"/>
  <c r="AK10" i="32" s="1"/>
  <c r="T10" i="32" a="1"/>
  <c r="T10" i="32" s="1"/>
  <c r="AG3" i="32" a="1"/>
  <c r="AG3" i="32" s="1"/>
  <c r="W3" i="32" a="1"/>
  <c r="W3" i="32" s="1"/>
  <c r="M3" i="32" a="1"/>
  <c r="M3" i="32" s="1"/>
  <c r="S3" i="32" a="1"/>
  <c r="S3" i="32" s="1"/>
  <c r="AM3" i="32" a="1"/>
  <c r="AM3" i="32" s="1"/>
  <c r="AH3" i="32" a="1"/>
  <c r="AH3" i="32" s="1"/>
  <c r="AB3" i="32" a="1"/>
  <c r="AB3" i="32" s="1"/>
  <c r="AA3" i="32" a="1"/>
  <c r="AA3" i="32" s="1"/>
  <c r="X3" i="32" a="1"/>
  <c r="X3" i="32" s="1"/>
  <c r="R3" i="32" a="1"/>
  <c r="R3" i="32" s="1"/>
  <c r="Q3" i="32" a="1"/>
  <c r="Q3" i="32" s="1"/>
  <c r="N3" i="32" a="1"/>
  <c r="N3" i="32" s="1"/>
  <c r="O3" i="32" a="1"/>
  <c r="O3" i="32" s="1"/>
  <c r="AJ3" i="32" a="1"/>
  <c r="AJ3" i="32" s="1"/>
  <c r="Y3" i="32" a="1"/>
  <c r="Y3" i="32" s="1"/>
  <c r="Z3" i="32" a="1"/>
  <c r="Z3" i="32" s="1"/>
  <c r="AF3" i="32" a="1"/>
  <c r="AF3" i="32" s="1"/>
  <c r="AE3" i="32" a="1"/>
  <c r="AE3" i="32" s="1"/>
  <c r="P3" i="32" a="1"/>
  <c r="P3" i="32" s="1"/>
  <c r="AL3" i="32" a="1"/>
  <c r="AL3" i="32" s="1"/>
  <c r="AI3" i="32" a="1"/>
  <c r="AI3" i="32" s="1"/>
  <c r="V3" i="32" a="1"/>
  <c r="V3" i="32" s="1"/>
  <c r="U3" i="32" a="1"/>
  <c r="U3" i="32" s="1"/>
  <c r="AD3" i="32" a="1"/>
  <c r="AD3" i="32" s="1"/>
  <c r="L3" i="32" a="1"/>
  <c r="L3" i="32" s="1"/>
  <c r="T3" i="32" a="1"/>
  <c r="T3" i="32" s="1"/>
  <c r="AK3" i="32" a="1"/>
  <c r="AK3" i="32" s="1"/>
  <c r="AC3" i="32" a="1"/>
  <c r="AC3" i="32" s="1"/>
  <c r="AG9" i="32" a="1"/>
  <c r="AG9" i="32" s="1"/>
  <c r="AB9" i="32" a="1"/>
  <c r="AB9" i="32" s="1"/>
  <c r="AH9" i="32" a="1"/>
  <c r="AH9" i="32" s="1"/>
  <c r="W9" i="32" a="1"/>
  <c r="W9" i="32" s="1"/>
  <c r="R9" i="32" a="1"/>
  <c r="R9" i="32" s="1"/>
  <c r="Q9" i="32" a="1"/>
  <c r="Q9" i="32" s="1"/>
  <c r="X9" i="32" a="1"/>
  <c r="X9" i="32" s="1"/>
  <c r="M9" i="32" a="1"/>
  <c r="M9" i="32" s="1"/>
  <c r="V9" i="32" a="1"/>
  <c r="V9" i="32" s="1"/>
  <c r="O9" i="32" a="1"/>
  <c r="O9" i="32" s="1"/>
  <c r="N9" i="32" a="1"/>
  <c r="N9" i="32" s="1"/>
  <c r="AE9" i="32" a="1"/>
  <c r="AE9" i="32" s="1"/>
  <c r="AL9" i="32" a="1"/>
  <c r="AL9" i="32" s="1"/>
  <c r="AF9" i="32" a="1"/>
  <c r="AF9" i="32" s="1"/>
  <c r="U9" i="32" a="1"/>
  <c r="U9" i="32" s="1"/>
  <c r="AD9" i="32" a="1"/>
  <c r="AD9" i="32" s="1"/>
  <c r="AC9" i="32" a="1"/>
  <c r="AC9" i="32" s="1"/>
  <c r="AJ9" i="32" a="1"/>
  <c r="AJ9" i="32" s="1"/>
  <c r="T9" i="32" a="1"/>
  <c r="T9" i="32" s="1"/>
  <c r="S9" i="32" a="1"/>
  <c r="S9" i="32" s="1"/>
  <c r="Z9" i="32" a="1"/>
  <c r="Z9" i="32" s="1"/>
  <c r="P9" i="32" a="1"/>
  <c r="P9" i="32" s="1"/>
  <c r="Y9" i="32" a="1"/>
  <c r="Y9" i="32" s="1"/>
  <c r="AA9" i="32" a="1"/>
  <c r="AA9" i="32" s="1"/>
  <c r="AI9" i="32" a="1"/>
  <c r="AI9" i="32" s="1"/>
  <c r="L9" i="32" a="1"/>
  <c r="L9" i="32" s="1"/>
  <c r="AK9" i="32" a="1"/>
  <c r="AK9" i="32" s="1"/>
  <c r="AM9" i="32" a="1"/>
  <c r="AM9" i="32" s="1"/>
  <c r="X6" i="32" a="1"/>
  <c r="X6" i="32" s="1"/>
  <c r="Z6" i="32" a="1"/>
  <c r="Z6" i="32" s="1"/>
  <c r="W6" i="32" a="1"/>
  <c r="W6" i="32" s="1"/>
  <c r="L6" i="32" a="1"/>
  <c r="L6" i="32" s="1"/>
  <c r="AH6" i="32" a="1"/>
  <c r="AH6" i="32" s="1"/>
  <c r="M6" i="32" a="1"/>
  <c r="M6" i="32" s="1"/>
  <c r="AD6" i="32" a="1"/>
  <c r="AD6" i="32" s="1"/>
  <c r="AL6" i="32" a="1"/>
  <c r="AL6" i="32" s="1"/>
  <c r="T6" i="32" a="1"/>
  <c r="T6" i="32" s="1"/>
  <c r="AC6" i="32" a="1"/>
  <c r="AC6" i="32" s="1"/>
  <c r="AM6" i="32" a="1"/>
  <c r="AM6" i="32" s="1"/>
  <c r="AI6" i="32" a="1"/>
  <c r="AI6" i="32" s="1"/>
  <c r="S6" i="32" a="1"/>
  <c r="S6" i="32" s="1"/>
  <c r="AB6" i="32" a="1"/>
  <c r="AB6" i="32" s="1"/>
  <c r="Y6" i="32" a="1"/>
  <c r="Y6" i="32" s="1"/>
  <c r="R6" i="32" a="1"/>
  <c r="R6" i="32" s="1"/>
  <c r="O6" i="32" a="1"/>
  <c r="O6" i="32" s="1"/>
  <c r="P6" i="32" a="1"/>
  <c r="P6" i="32" s="1"/>
  <c r="U6" i="32" a="1"/>
  <c r="U6" i="32" s="1"/>
  <c r="N6" i="32" a="1"/>
  <c r="N6" i="32" s="1"/>
  <c r="AJ6" i="32" a="1"/>
  <c r="AJ6" i="32" s="1"/>
  <c r="AE6" i="32" a="1"/>
  <c r="AE6" i="32" s="1"/>
  <c r="AF6" i="32" a="1"/>
  <c r="AF6" i="32" s="1"/>
  <c r="AA6" i="32" a="1"/>
  <c r="AA6" i="32" s="1"/>
  <c r="AG6" i="32" a="1"/>
  <c r="AG6" i="32" s="1"/>
  <c r="V6" i="32" a="1"/>
  <c r="V6" i="32" s="1"/>
  <c r="AK6" i="32" a="1"/>
  <c r="AK6" i="32" s="1"/>
  <c r="Q6" i="32" a="1"/>
  <c r="Q6" i="32" s="1"/>
  <c r="AG7" i="32" a="1"/>
  <c r="AG7" i="32" s="1"/>
  <c r="Q7" i="32" a="1"/>
  <c r="Q7" i="32" s="1"/>
  <c r="Z7" i="32" a="1"/>
  <c r="Z7" i="32" s="1"/>
  <c r="Y7" i="32" a="1"/>
  <c r="Y7" i="32" s="1"/>
  <c r="V7" i="32" a="1"/>
  <c r="V7" i="32" s="1"/>
  <c r="P7" i="32" a="1"/>
  <c r="P7" i="32" s="1"/>
  <c r="O7" i="32" a="1"/>
  <c r="O7" i="32" s="1"/>
  <c r="L7" i="32" a="1"/>
  <c r="L7" i="32" s="1"/>
  <c r="R7" i="32" a="1"/>
  <c r="R7" i="32" s="1"/>
  <c r="AH7" i="32" a="1"/>
  <c r="AH7" i="32" s="1"/>
  <c r="U7" i="32" a="1"/>
  <c r="U7" i="32" s="1"/>
  <c r="M7" i="32" a="1"/>
  <c r="M7" i="32" s="1"/>
  <c r="X7" i="32" a="1"/>
  <c r="X7" i="32" s="1"/>
  <c r="AM7" i="32" a="1"/>
  <c r="AM7" i="32" s="1"/>
  <c r="AE7" i="32" a="1"/>
  <c r="AE7" i="32" s="1"/>
  <c r="AC7" i="32" a="1"/>
  <c r="AC7" i="32" s="1"/>
  <c r="N7" i="32" a="1"/>
  <c r="N7" i="32" s="1"/>
  <c r="AD7" i="32" a="1"/>
  <c r="AD7" i="32" s="1"/>
  <c r="S7" i="32" a="1"/>
  <c r="S7" i="32" s="1"/>
  <c r="T7" i="32" a="1"/>
  <c r="T7" i="32" s="1"/>
  <c r="W7" i="32" a="1"/>
  <c r="W7" i="32" s="1"/>
  <c r="AB7" i="32" a="1"/>
  <c r="AB7" i="32" s="1"/>
  <c r="AL7" i="32" a="1"/>
  <c r="AL7" i="32" s="1"/>
  <c r="AA7" i="32" a="1"/>
  <c r="AA7" i="32" s="1"/>
  <c r="AJ7" i="32" a="1"/>
  <c r="AJ7" i="32" s="1"/>
  <c r="AI7" i="32" a="1"/>
  <c r="AI7" i="32" s="1"/>
  <c r="AK7" i="32" a="1"/>
  <c r="AK7" i="32" s="1"/>
  <c r="AF7" i="32" a="1"/>
  <c r="AF7" i="32" s="1"/>
  <c r="AL4" i="32" a="1"/>
  <c r="AL4" i="32" s="1"/>
  <c r="V4" i="32" a="1"/>
  <c r="V4" i="32" s="1"/>
  <c r="AG4" i="32" a="1"/>
  <c r="AG4" i="32" s="1"/>
  <c r="T4" i="32" a="1"/>
  <c r="T4" i="32" s="1"/>
  <c r="AF4" i="32" a="1"/>
  <c r="AF4" i="32" s="1"/>
  <c r="W4" i="32" a="1"/>
  <c r="W4" i="32" s="1"/>
  <c r="AM4" i="32" a="1"/>
  <c r="AM4" i="32" s="1"/>
  <c r="M4" i="32" a="1"/>
  <c r="M4" i="32" s="1"/>
  <c r="AC4" i="32" a="1"/>
  <c r="AC4" i="32" s="1"/>
  <c r="AB4" i="32" a="1"/>
  <c r="AB4" i="32" s="1"/>
  <c r="S4" i="32" a="1"/>
  <c r="S4" i="32" s="1"/>
  <c r="R4" i="32" a="1"/>
  <c r="R4" i="32" s="1"/>
  <c r="AA4" i="32" a="1"/>
  <c r="AA4" i="32" s="1"/>
  <c r="AJ4" i="32" a="1"/>
  <c r="AJ4" i="32" s="1"/>
  <c r="Q4" i="32" a="1"/>
  <c r="Q4" i="32" s="1"/>
  <c r="Z4" i="32" a="1"/>
  <c r="Z4" i="32" s="1"/>
  <c r="AI4" i="32" a="1"/>
  <c r="AI4" i="32" s="1"/>
  <c r="AH4" i="32" a="1"/>
  <c r="AH4" i="32" s="1"/>
  <c r="L4" i="32" a="1"/>
  <c r="L4" i="32" s="1"/>
  <c r="P4" i="32" a="1"/>
  <c r="P4" i="32" s="1"/>
  <c r="Y4" i="32" a="1"/>
  <c r="Y4" i="32" s="1"/>
  <c r="X4" i="32" a="1"/>
  <c r="X4" i="32" s="1"/>
  <c r="AE4" i="32" a="1"/>
  <c r="AE4" i="32" s="1"/>
  <c r="AD4" i="32" a="1"/>
  <c r="AD4" i="32" s="1"/>
  <c r="O4" i="32" a="1"/>
  <c r="O4" i="32" s="1"/>
  <c r="N4" i="32" a="1"/>
  <c r="N4" i="32" s="1"/>
  <c r="AK4" i="32" a="1"/>
  <c r="AK4" i="32" s="1"/>
  <c r="U4" i="32" a="1"/>
  <c r="U4" i="32" s="1"/>
  <c r="Q2" i="32" a="1"/>
  <c r="Q2" i="32" s="1"/>
  <c r="L2" i="32" a="1"/>
  <c r="L2" i="32" s="1"/>
  <c r="U2" i="32" a="1"/>
  <c r="U2" i="32" s="1"/>
  <c r="R2" i="32" a="1"/>
  <c r="R2" i="32" s="1"/>
  <c r="S2" i="32" a="1"/>
  <c r="S2" i="32" s="1"/>
  <c r="N2" i="32" a="1"/>
  <c r="N2" i="32" s="1"/>
  <c r="AC2" i="32" a="1"/>
  <c r="AC2" i="32" s="1"/>
  <c r="AI2" i="32" a="1"/>
  <c r="AI2" i="32" s="1"/>
  <c r="AD2" i="32" a="1"/>
  <c r="AD2" i="32" s="1"/>
  <c r="X2" i="32" a="1"/>
  <c r="X2" i="32" s="1"/>
  <c r="AA2" i="32" a="1"/>
  <c r="AA2" i="32" s="1"/>
  <c r="AJ2" i="32" a="1"/>
  <c r="AJ2" i="32" s="1"/>
  <c r="Y2" i="32" a="1"/>
  <c r="Y2" i="32" s="1"/>
  <c r="T2" i="32" a="1"/>
  <c r="T2" i="32" s="1"/>
  <c r="AL2" i="32" a="1"/>
  <c r="AL2" i="32" s="1"/>
  <c r="AH2" i="32" a="1"/>
  <c r="AH2" i="32" s="1"/>
  <c r="Z2" i="32" a="1"/>
  <c r="Z2" i="32" s="1"/>
  <c r="O2" i="32" a="1"/>
  <c r="O2" i="32" s="1"/>
  <c r="P2" i="32" a="1"/>
  <c r="P2" i="32" s="1"/>
  <c r="AG2" i="32" a="1"/>
  <c r="AG2" i="32" s="1"/>
  <c r="W2" i="32" a="1"/>
  <c r="W2" i="32" s="1"/>
  <c r="AF2" i="32" a="1"/>
  <c r="AF2" i="32" s="1"/>
  <c r="AM2" i="32" a="1"/>
  <c r="AM2" i="32" s="1"/>
  <c r="M2" i="32" a="1"/>
  <c r="M2" i="32" s="1"/>
  <c r="V2" i="32" a="1"/>
  <c r="V2" i="32" s="1"/>
  <c r="AE2" i="32" a="1"/>
  <c r="AE2" i="32" s="1"/>
  <c r="AB2" i="32" a="1"/>
  <c r="AB2" i="32" s="1"/>
  <c r="AK2" i="32" a="1"/>
  <c r="AK2" i="32" s="1"/>
  <c r="E13" i="17"/>
  <c r="S3" i="34" a="1"/>
  <c r="S3" i="34" s="1"/>
  <c r="AF3" i="34" a="1"/>
  <c r="AF3" i="34" s="1"/>
  <c r="X3" i="34" a="1"/>
  <c r="X3" i="34" s="1"/>
  <c r="AA3" i="34" a="1"/>
  <c r="AA3" i="34" s="1"/>
  <c r="P3" i="34" a="1"/>
  <c r="P3" i="34" s="1"/>
  <c r="AC3" i="34" a="1"/>
  <c r="AC3" i="34" s="1"/>
  <c r="V3" i="34" a="1"/>
  <c r="V3" i="34" s="1"/>
  <c r="Z3" i="34" a="1"/>
  <c r="Z3" i="34" s="1"/>
  <c r="R3" i="34" a="1"/>
  <c r="R3" i="34" s="1"/>
  <c r="AM3" i="34" a="1"/>
  <c r="AM3" i="34" s="1"/>
  <c r="N3" i="34" a="1"/>
  <c r="N3" i="34" s="1"/>
  <c r="AE3" i="34" a="1"/>
  <c r="AE3" i="34" s="1"/>
  <c r="W3" i="34" a="1"/>
  <c r="W3" i="34" s="1"/>
  <c r="O3" i="34" a="1"/>
  <c r="O3" i="34" s="1"/>
  <c r="AJ3" i="34" a="1"/>
  <c r="AJ3" i="34" s="1"/>
  <c r="AB3" i="34" a="1"/>
  <c r="AB3" i="34" s="1"/>
  <c r="T3" i="34" a="1"/>
  <c r="T3" i="34" s="1"/>
  <c r="M3" i="34" a="1"/>
  <c r="M3" i="34" s="1"/>
  <c r="L3" i="34" a="1"/>
  <c r="L3" i="34" s="1"/>
  <c r="AG3" i="34" a="1"/>
  <c r="AG3" i="34" s="1"/>
  <c r="Y3" i="34" a="1"/>
  <c r="Y3" i="34" s="1"/>
  <c r="AI3" i="34" a="1"/>
  <c r="AI3" i="34" s="1"/>
  <c r="U3" i="34" a="1"/>
  <c r="U3" i="34" s="1"/>
  <c r="AH3" i="34" a="1"/>
  <c r="AH3" i="34" s="1"/>
  <c r="Q3" i="34" a="1"/>
  <c r="Q3" i="34" s="1"/>
  <c r="AL3" i="34" a="1"/>
  <c r="AL3" i="34" s="1"/>
  <c r="AK3" i="34" a="1"/>
  <c r="AK3" i="34" s="1"/>
  <c r="AD3" i="34" a="1"/>
  <c r="AD3" i="34" s="1"/>
  <c r="AB4" i="34" a="1"/>
  <c r="AB4" i="34" s="1"/>
  <c r="L4" i="34" a="1"/>
  <c r="L4" i="34" s="1"/>
  <c r="Y4" i="34" a="1"/>
  <c r="Y4" i="34" s="1"/>
  <c r="Q4" i="34" a="1"/>
  <c r="Q4" i="34" s="1"/>
  <c r="AL4" i="34" a="1"/>
  <c r="AL4" i="34" s="1"/>
  <c r="AD4" i="34" a="1"/>
  <c r="AD4" i="34" s="1"/>
  <c r="T4" i="34" a="1"/>
  <c r="T4" i="34" s="1"/>
  <c r="V4" i="34" a="1"/>
  <c r="V4" i="34" s="1"/>
  <c r="N4" i="34" a="1"/>
  <c r="N4" i="34" s="1"/>
  <c r="AI4" i="34" a="1"/>
  <c r="AI4" i="34" s="1"/>
  <c r="AF4" i="34" a="1"/>
  <c r="AF4" i="34" s="1"/>
  <c r="X4" i="34" a="1"/>
  <c r="X4" i="34" s="1"/>
  <c r="U4" i="34" a="1"/>
  <c r="U4" i="34" s="1"/>
  <c r="AC4" i="34" a="1"/>
  <c r="AC4" i="34" s="1"/>
  <c r="Z4" i="34" a="1"/>
  <c r="Z4" i="34" s="1"/>
  <c r="M4" i="34" a="1"/>
  <c r="M4" i="34" s="1"/>
  <c r="AH4" i="34" a="1"/>
  <c r="AH4" i="34" s="1"/>
  <c r="AE4" i="34" a="1"/>
  <c r="AE4" i="34" s="1"/>
  <c r="AA4" i="34" a="1"/>
  <c r="AA4" i="34" s="1"/>
  <c r="P4" i="34" a="1"/>
  <c r="P4" i="34" s="1"/>
  <c r="R4" i="34" a="1"/>
  <c r="R4" i="34" s="1"/>
  <c r="AM4" i="34" a="1"/>
  <c r="AM4" i="34" s="1"/>
  <c r="AJ4" i="34" a="1"/>
  <c r="AJ4" i="34" s="1"/>
  <c r="AG4" i="34" a="1"/>
  <c r="AG4" i="34" s="1"/>
  <c r="S4" i="34" a="1"/>
  <c r="S4" i="34" s="1"/>
  <c r="W4" i="34" a="1"/>
  <c r="W4" i="34" s="1"/>
  <c r="AK4" i="34" a="1"/>
  <c r="AK4" i="34" s="1"/>
  <c r="O4" i="34" a="1"/>
  <c r="O4" i="34" s="1"/>
  <c r="AM5" i="34" a="1"/>
  <c r="AM5" i="34" s="1"/>
  <c r="W5" i="34" a="1"/>
  <c r="W5" i="34" s="1"/>
  <c r="O5" i="34" a="1"/>
  <c r="O5" i="34" s="1"/>
  <c r="L5" i="34" a="1"/>
  <c r="L5" i="34" s="1"/>
  <c r="AB5" i="34" a="1"/>
  <c r="AB5" i="34" s="1"/>
  <c r="T5" i="34" a="1"/>
  <c r="T5" i="34" s="1"/>
  <c r="Q5" i="34" a="1"/>
  <c r="Q5" i="34" s="1"/>
  <c r="AG5" i="34" a="1"/>
  <c r="AG5" i="34" s="1"/>
  <c r="Y5" i="34" a="1"/>
  <c r="Y5" i="34" s="1"/>
  <c r="V5" i="34" a="1"/>
  <c r="V5" i="34" s="1"/>
  <c r="N5" i="34" a="1"/>
  <c r="N5" i="34" s="1"/>
  <c r="AI5" i="34" a="1"/>
  <c r="AI5" i="34" s="1"/>
  <c r="AF5" i="34" a="1"/>
  <c r="AF5" i="34" s="1"/>
  <c r="S5" i="34" a="1"/>
  <c r="S5" i="34" s="1"/>
  <c r="P5" i="34" a="1"/>
  <c r="P5" i="34" s="1"/>
  <c r="X5" i="34" a="1"/>
  <c r="X5" i="34" s="1"/>
  <c r="U5" i="34" a="1"/>
  <c r="U5" i="34" s="1"/>
  <c r="AD5" i="34" a="1"/>
  <c r="AD5" i="34" s="1"/>
  <c r="AC5" i="34" a="1"/>
  <c r="AC5" i="34" s="1"/>
  <c r="Z5" i="34" a="1"/>
  <c r="Z5" i="34" s="1"/>
  <c r="R5" i="34" a="1"/>
  <c r="R5" i="34" s="1"/>
  <c r="AJ5" i="34" a="1"/>
  <c r="AJ5" i="34" s="1"/>
  <c r="AL5" i="34" a="1"/>
  <c r="AL5" i="34" s="1"/>
  <c r="AA5" i="34" a="1"/>
  <c r="AA5" i="34" s="1"/>
  <c r="M5" i="34" a="1"/>
  <c r="M5" i="34" s="1"/>
  <c r="AH5" i="34" a="1"/>
  <c r="AH5" i="34" s="1"/>
  <c r="AK5" i="34" a="1"/>
  <c r="AK5" i="34" s="1"/>
  <c r="AE5" i="34" a="1"/>
  <c r="AE5" i="34" s="1"/>
  <c r="R2" i="34" a="1"/>
  <c r="R2" i="34" s="1"/>
  <c r="W2" i="34" a="1"/>
  <c r="W2" i="34" s="1"/>
  <c r="AA2" i="34" a="1"/>
  <c r="AA2" i="34" s="1"/>
  <c r="O2" i="34" a="1"/>
  <c r="O2" i="34" s="1"/>
  <c r="AF2" i="34" a="1"/>
  <c r="AF2" i="34" s="1"/>
  <c r="AB2" i="34" a="1"/>
  <c r="AB2" i="34" s="1"/>
  <c r="X2" i="34" a="1"/>
  <c r="X2" i="34" s="1"/>
  <c r="AE2" i="34" a="1"/>
  <c r="AE2" i="34" s="1"/>
  <c r="S2" i="34" a="1"/>
  <c r="S2" i="34" s="1"/>
  <c r="AG2" i="34" a="1"/>
  <c r="AG2" i="34" s="1"/>
  <c r="L2" i="34" a="1"/>
  <c r="L2" i="34" s="1"/>
  <c r="AD2" i="34" a="1"/>
  <c r="AD2" i="34" s="1"/>
  <c r="T2" i="34" a="1"/>
  <c r="T2" i="34" s="1"/>
  <c r="AI2" i="34" a="1"/>
  <c r="AI2" i="34" s="1"/>
  <c r="AC2" i="34" a="1"/>
  <c r="AC2" i="34" s="1"/>
  <c r="U2" i="34" a="1"/>
  <c r="U2" i="34" s="1"/>
  <c r="AL2" i="34" a="1"/>
  <c r="AL2" i="34" s="1"/>
  <c r="Z2" i="34" a="1"/>
  <c r="Z2" i="34" s="1"/>
  <c r="Q2" i="34" a="1"/>
  <c r="Q2" i="34" s="1"/>
  <c r="Y2" i="34" a="1"/>
  <c r="Y2" i="34" s="1"/>
  <c r="M2" i="34" a="1"/>
  <c r="M2" i="34" s="1"/>
  <c r="AM2" i="34" a="1"/>
  <c r="AM2" i="34" s="1"/>
  <c r="AJ2" i="34" a="1"/>
  <c r="AJ2" i="34" s="1"/>
  <c r="P2" i="34" a="1"/>
  <c r="P2" i="34" s="1"/>
  <c r="AH2" i="34" a="1"/>
  <c r="AH2" i="34" s="1"/>
  <c r="V2" i="34" a="1"/>
  <c r="V2" i="34" s="1"/>
  <c r="N2" i="34" a="1"/>
  <c r="N2" i="34" s="1"/>
  <c r="AK2" i="34" a="1"/>
  <c r="AK2" i="34" s="1"/>
  <c r="E15" i="17"/>
  <c r="AI2" i="35" a="1"/>
  <c r="AI2" i="35" s="1"/>
  <c r="AK2" i="35" a="1"/>
  <c r="AK2" i="35" s="1"/>
  <c r="E16" i="17"/>
  <c r="V2" i="35" a="1"/>
  <c r="V2" i="35" s="1"/>
  <c r="AF2" i="35" a="1"/>
  <c r="AF2" i="35" s="1"/>
  <c r="Z2" i="35" a="1"/>
  <c r="Z2" i="35" s="1"/>
  <c r="I2" i="35" a="1"/>
  <c r="I2" i="35" s="1"/>
  <c r="T2" i="35" a="1"/>
  <c r="T2" i="35" s="1"/>
  <c r="J2" i="35" a="1"/>
  <c r="J2" i="35" s="1"/>
  <c r="W2" i="35" a="1"/>
  <c r="W2" i="35" s="1"/>
  <c r="L2" i="35" a="1"/>
  <c r="L2" i="35" s="1"/>
  <c r="G2" i="35" a="1"/>
  <c r="G2" i="35" s="1"/>
  <c r="AL2" i="35" a="1"/>
  <c r="AL2" i="35" s="1"/>
  <c r="R2" i="35" a="1"/>
  <c r="R2" i="35" s="1"/>
  <c r="AB2" i="35" a="1"/>
  <c r="AB2" i="35" s="1"/>
  <c r="Q2" i="35" a="1"/>
  <c r="Q2" i="35" s="1"/>
  <c r="AM2" i="35" a="1"/>
  <c r="AM2" i="35" s="1"/>
  <c r="P2" i="35" a="1"/>
  <c r="P2" i="35" s="1"/>
  <c r="H2" i="35" a="1"/>
  <c r="H2" i="35" s="1"/>
  <c r="AC2" i="35" a="1"/>
  <c r="AC2" i="35" s="1"/>
  <c r="F2" i="35" a="1"/>
  <c r="F2" i="35" s="1"/>
  <c r="AD2" i="35" a="1"/>
  <c r="AD2" i="35" s="1"/>
  <c r="S2" i="35" a="1"/>
  <c r="S2" i="35" s="1"/>
  <c r="AA2" i="35" a="1"/>
  <c r="AA2" i="35" s="1"/>
  <c r="N2" i="35" a="1"/>
  <c r="N2" i="35" s="1"/>
  <c r="M2" i="35" a="1"/>
  <c r="M2" i="35" s="1"/>
  <c r="Y2" i="35" a="1"/>
  <c r="Y2" i="35" s="1"/>
  <c r="O2" i="35" a="1"/>
  <c r="O2" i="35" s="1"/>
  <c r="AG2" i="35" a="1"/>
  <c r="AG2" i="35" s="1"/>
  <c r="U2" i="35" a="1"/>
  <c r="U2" i="35" s="1"/>
  <c r="AE2" i="35" a="1"/>
  <c r="AE2" i="35" s="1"/>
  <c r="AJ2" i="35" a="1"/>
  <c r="AJ2" i="35" s="1"/>
  <c r="X2" i="35" a="1"/>
  <c r="X2" i="35" s="1"/>
  <c r="K2" i="35" a="1"/>
  <c r="K2" i="35" s="1"/>
  <c r="AH2" i="35" a="1"/>
  <c r="AH2" i="35" s="1"/>
  <c r="Y3" i="35" a="1"/>
  <c r="Y3" i="35" s="1"/>
  <c r="AI3" i="35" a="1"/>
  <c r="AI3" i="35" s="1"/>
  <c r="AB3" i="35" a="1"/>
  <c r="AB3" i="35" s="1"/>
  <c r="AD3" i="35" a="1"/>
  <c r="AD3" i="35" s="1"/>
  <c r="AL3" i="35" a="1"/>
  <c r="AL3" i="35" s="1"/>
  <c r="G3" i="35" a="1"/>
  <c r="G3" i="35" s="1"/>
  <c r="X3" i="35" a="1"/>
  <c r="X3" i="35" s="1"/>
  <c r="AG3" i="35" a="1"/>
  <c r="AG3" i="35" s="1"/>
  <c r="AE3" i="35" a="1"/>
  <c r="AE3" i="35" s="1"/>
  <c r="H3" i="35" a="1"/>
  <c r="H3" i="35" s="1"/>
  <c r="AM3" i="35" a="1"/>
  <c r="AM3" i="35" s="1"/>
  <c r="M3" i="35" a="1"/>
  <c r="M3" i="35" s="1"/>
  <c r="AF3" i="35" a="1"/>
  <c r="AF3" i="35" s="1"/>
  <c r="Q3" i="35" a="1"/>
  <c r="Q3" i="35" s="1"/>
  <c r="N3" i="35" a="1"/>
  <c r="N3" i="35" s="1"/>
  <c r="W3" i="35" a="1"/>
  <c r="W3" i="35" s="1"/>
  <c r="P3" i="35" a="1"/>
  <c r="P3" i="35" s="1"/>
  <c r="AK3" i="35" a="1"/>
  <c r="AK3" i="35" s="1"/>
  <c r="U3" i="35" a="1"/>
  <c r="U3" i="35" s="1"/>
  <c r="L3" i="35" a="1"/>
  <c r="L3" i="35" s="1"/>
  <c r="AC3" i="35" a="1"/>
  <c r="AC3" i="35" s="1"/>
  <c r="AJ3" i="35" a="1"/>
  <c r="AJ3" i="35" s="1"/>
  <c r="Z3" i="35" a="1"/>
  <c r="Z3" i="35" s="1"/>
  <c r="AH3" i="35" a="1"/>
  <c r="AH3" i="35" s="1"/>
  <c r="AA3" i="35" a="1"/>
  <c r="AA3" i="35" s="1"/>
  <c r="V3" i="35" a="1"/>
  <c r="V3" i="35" s="1"/>
  <c r="O3" i="35" a="1"/>
  <c r="O3" i="35" s="1"/>
  <c r="F3" i="35" a="1"/>
  <c r="F3" i="35" s="1"/>
  <c r="I3" i="35" a="1"/>
  <c r="I3" i="35" s="1"/>
  <c r="R3" i="35" a="1"/>
  <c r="R3" i="35" s="1"/>
  <c r="S3" i="35" a="1"/>
  <c r="S3" i="35" s="1"/>
  <c r="T3" i="35" a="1"/>
  <c r="T3" i="35" s="1"/>
  <c r="K3" i="35" a="1"/>
  <c r="K3" i="35" s="1"/>
  <c r="J3" i="35" a="1"/>
  <c r="J3" i="35" s="1"/>
  <c r="AC5" i="35" a="1"/>
  <c r="AC5" i="35" s="1"/>
  <c r="AK5" i="35" a="1"/>
  <c r="AK5" i="35" s="1"/>
  <c r="P5" i="35" a="1"/>
  <c r="P5" i="35" s="1"/>
  <c r="Y5" i="35" a="1"/>
  <c r="Y5" i="35" s="1"/>
  <c r="AJ5" i="35" a="1"/>
  <c r="AJ5" i="35" s="1"/>
  <c r="V5" i="35" a="1"/>
  <c r="V5" i="35" s="1"/>
  <c r="AB5" i="35" a="1"/>
  <c r="AB5" i="35" s="1"/>
  <c r="AL5" i="35" a="1"/>
  <c r="AL5" i="35" s="1"/>
  <c r="AH5" i="35" a="1"/>
  <c r="AH5" i="35" s="1"/>
  <c r="AG5" i="35" a="1"/>
  <c r="AG5" i="35" s="1"/>
  <c r="I5" i="35" a="1"/>
  <c r="I5" i="35" s="1"/>
  <c r="AF5" i="35" a="1"/>
  <c r="AF5" i="35" s="1"/>
  <c r="L5" i="35" a="1"/>
  <c r="L5" i="35" s="1"/>
  <c r="X5" i="35" a="1"/>
  <c r="X5" i="35" s="1"/>
  <c r="W5" i="35" a="1"/>
  <c r="W5" i="35" s="1"/>
  <c r="R5" i="35" a="1"/>
  <c r="R5" i="35" s="1"/>
  <c r="H5" i="35" a="1"/>
  <c r="H5" i="35" s="1"/>
  <c r="AE5" i="35" a="1"/>
  <c r="AE5" i="35" s="1"/>
  <c r="Z5" i="35" a="1"/>
  <c r="Z5" i="35" s="1"/>
  <c r="AD5" i="35" a="1"/>
  <c r="AD5" i="35" s="1"/>
  <c r="F5" i="35" a="1"/>
  <c r="F5" i="35" s="1"/>
  <c r="AA5" i="35" a="1"/>
  <c r="AA5" i="35" s="1"/>
  <c r="J5" i="35" a="1"/>
  <c r="J5" i="35" s="1"/>
  <c r="M5" i="35" a="1"/>
  <c r="M5" i="35" s="1"/>
  <c r="O5" i="35" a="1"/>
  <c r="O5" i="35" s="1"/>
  <c r="AM5" i="35" a="1"/>
  <c r="AM5" i="35" s="1"/>
  <c r="G5" i="35" a="1"/>
  <c r="G5" i="35" s="1"/>
  <c r="T5" i="35" a="1"/>
  <c r="T5" i="35" s="1"/>
  <c r="U5" i="35" a="1"/>
  <c r="U5" i="35" s="1"/>
  <c r="Q5" i="35" a="1"/>
  <c r="Q5" i="35" s="1"/>
  <c r="AI5" i="35" a="1"/>
  <c r="AI5" i="35" s="1"/>
  <c r="N5" i="35" a="1"/>
  <c r="N5" i="35" s="1"/>
  <c r="K5" i="35" a="1"/>
  <c r="K5" i="35" s="1"/>
  <c r="S5" i="35" a="1"/>
  <c r="S5" i="35" s="1"/>
  <c r="L7" i="35" a="1"/>
  <c r="L7" i="35" s="1"/>
  <c r="AI7" i="35" a="1"/>
  <c r="AI7" i="35" s="1"/>
  <c r="AC7" i="35" a="1"/>
  <c r="AC7" i="35" s="1"/>
  <c r="Z7" i="35" a="1"/>
  <c r="Z7" i="35" s="1"/>
  <c r="G7" i="35" a="1"/>
  <c r="G7" i="35" s="1"/>
  <c r="AK7" i="35" a="1"/>
  <c r="AK7" i="35" s="1"/>
  <c r="P7" i="35" a="1"/>
  <c r="P7" i="35" s="1"/>
  <c r="M7" i="35" a="1"/>
  <c r="M7" i="35" s="1"/>
  <c r="H7" i="35" a="1"/>
  <c r="H7" i="35" s="1"/>
  <c r="AJ7" i="35" a="1"/>
  <c r="AJ7" i="35" s="1"/>
  <c r="AG7" i="35" a="1"/>
  <c r="AG7" i="35" s="1"/>
  <c r="I7" i="35" a="1"/>
  <c r="I7" i="35" s="1"/>
  <c r="AH7" i="35" a="1"/>
  <c r="AH7" i="35" s="1"/>
  <c r="R7" i="35" a="1"/>
  <c r="R7" i="35" s="1"/>
  <c r="T7" i="35" a="1"/>
  <c r="T7" i="35" s="1"/>
  <c r="U7" i="35" a="1"/>
  <c r="U7" i="35" s="1"/>
  <c r="AF7" i="35" a="1"/>
  <c r="AF7" i="35" s="1"/>
  <c r="O7" i="35" a="1"/>
  <c r="O7" i="35" s="1"/>
  <c r="AB7" i="35" a="1"/>
  <c r="AB7" i="35" s="1"/>
  <c r="X7" i="35" a="1"/>
  <c r="X7" i="35" s="1"/>
  <c r="AL7" i="35" a="1"/>
  <c r="AL7" i="35" s="1"/>
  <c r="AA7" i="35" a="1"/>
  <c r="AA7" i="35" s="1"/>
  <c r="S7" i="35" a="1"/>
  <c r="S7" i="35" s="1"/>
  <c r="N7" i="35" a="1"/>
  <c r="N7" i="35" s="1"/>
  <c r="AD7" i="35" a="1"/>
  <c r="AD7" i="35" s="1"/>
  <c r="AE7" i="35" a="1"/>
  <c r="AE7" i="35" s="1"/>
  <c r="F7" i="35" a="1"/>
  <c r="F7" i="35" s="1"/>
  <c r="V7" i="35" a="1"/>
  <c r="V7" i="35" s="1"/>
  <c r="Y7" i="35" a="1"/>
  <c r="Y7" i="35" s="1"/>
  <c r="AM7" i="35" a="1"/>
  <c r="AM7" i="35" s="1"/>
  <c r="Q7" i="35" a="1"/>
  <c r="Q7" i="35" s="1"/>
  <c r="J7" i="35" a="1"/>
  <c r="J7" i="35" s="1"/>
  <c r="K7" i="35" a="1"/>
  <c r="K7" i="35" s="1"/>
  <c r="W7" i="35" a="1"/>
  <c r="W7" i="35" s="1"/>
  <c r="AM4" i="35" a="1"/>
  <c r="AM4" i="35" s="1"/>
  <c r="J4" i="35" a="1"/>
  <c r="J4" i="35" s="1"/>
  <c r="AB4" i="35" a="1"/>
  <c r="AB4" i="35" s="1"/>
  <c r="L4" i="35" a="1"/>
  <c r="L4" i="35" s="1"/>
  <c r="AL4" i="35" a="1"/>
  <c r="AL4" i="35" s="1"/>
  <c r="X4" i="35" a="1"/>
  <c r="X4" i="35" s="1"/>
  <c r="AK4" i="35" a="1"/>
  <c r="AK4" i="35" s="1"/>
  <c r="G4" i="35" a="1"/>
  <c r="G4" i="35" s="1"/>
  <c r="Z4" i="35" a="1"/>
  <c r="Z4" i="35" s="1"/>
  <c r="AJ4" i="35" a="1"/>
  <c r="AJ4" i="35" s="1"/>
  <c r="AH4" i="35" a="1"/>
  <c r="AH4" i="35" s="1"/>
  <c r="H4" i="35" a="1"/>
  <c r="H4" i="35" s="1"/>
  <c r="N4" i="35" a="1"/>
  <c r="N4" i="35" s="1"/>
  <c r="W4" i="35" a="1"/>
  <c r="W4" i="35" s="1"/>
  <c r="P4" i="35" a="1"/>
  <c r="P4" i="35" s="1"/>
  <c r="AG4" i="35" a="1"/>
  <c r="AG4" i="35" s="1"/>
  <c r="O4" i="35" a="1"/>
  <c r="O4" i="35" s="1"/>
  <c r="U4" i="35" a="1"/>
  <c r="U4" i="35" s="1"/>
  <c r="R4" i="35" a="1"/>
  <c r="R4" i="35" s="1"/>
  <c r="AI4" i="35" a="1"/>
  <c r="AI4" i="35" s="1"/>
  <c r="I4" i="35" a="1"/>
  <c r="I4" i="35" s="1"/>
  <c r="AA4" i="35" a="1"/>
  <c r="AA4" i="35" s="1"/>
  <c r="F4" i="35" a="1"/>
  <c r="F4" i="35" s="1"/>
  <c r="V4" i="35" a="1"/>
  <c r="V4" i="35" s="1"/>
  <c r="T4" i="35" a="1"/>
  <c r="T4" i="35" s="1"/>
  <c r="S4" i="35" a="1"/>
  <c r="S4" i="35" s="1"/>
  <c r="AC4" i="35" a="1"/>
  <c r="AC4" i="35" s="1"/>
  <c r="Q4" i="35" a="1"/>
  <c r="Q4" i="35" s="1"/>
  <c r="Y4" i="35" a="1"/>
  <c r="Y4" i="35" s="1"/>
  <c r="M4" i="35" a="1"/>
  <c r="M4" i="35" s="1"/>
  <c r="AF4" i="35" a="1"/>
  <c r="AF4" i="35" s="1"/>
  <c r="AD4" i="35" a="1"/>
  <c r="AD4" i="35" s="1"/>
  <c r="K4" i="35" a="1"/>
  <c r="K4" i="35" s="1"/>
  <c r="AE4" i="35" a="1"/>
  <c r="AE4" i="35" s="1"/>
  <c r="O6" i="35" a="1"/>
  <c r="O6" i="35" s="1"/>
  <c r="N6" i="35" a="1"/>
  <c r="N6" i="35" s="1"/>
  <c r="I6" i="35" a="1"/>
  <c r="I6" i="35" s="1"/>
  <c r="AK6" i="35" a="1"/>
  <c r="AK6" i="35" s="1"/>
  <c r="F6" i="35" a="1"/>
  <c r="F6" i="35" s="1"/>
  <c r="AF6" i="35" a="1"/>
  <c r="AF6" i="35" s="1"/>
  <c r="S6" i="35" a="1"/>
  <c r="S6" i="35" s="1"/>
  <c r="U6" i="35" a="1"/>
  <c r="U6" i="35" s="1"/>
  <c r="AA6" i="35" a="1"/>
  <c r="AA6" i="35" s="1"/>
  <c r="AE6" i="35" a="1"/>
  <c r="AE6" i="35" s="1"/>
  <c r="AB6" i="35" a="1"/>
  <c r="AB6" i="35" s="1"/>
  <c r="L6" i="35" a="1"/>
  <c r="L6" i="35" s="1"/>
  <c r="AL6" i="35" a="1"/>
  <c r="AL6" i="35" s="1"/>
  <c r="T6" i="35" a="1"/>
  <c r="T6" i="35" s="1"/>
  <c r="P6" i="35" a="1"/>
  <c r="P6" i="35" s="1"/>
  <c r="AD6" i="35" a="1"/>
  <c r="AD6" i="35" s="1"/>
  <c r="AC6" i="35" a="1"/>
  <c r="AC6" i="35" s="1"/>
  <c r="X6" i="35" a="1"/>
  <c r="X6" i="35" s="1"/>
  <c r="AH6" i="35" a="1"/>
  <c r="AH6" i="35" s="1"/>
  <c r="V6" i="35" a="1"/>
  <c r="V6" i="35" s="1"/>
  <c r="M6" i="35" a="1"/>
  <c r="M6" i="35" s="1"/>
  <c r="J6" i="35" a="1"/>
  <c r="J6" i="35" s="1"/>
  <c r="AJ6" i="35" a="1"/>
  <c r="AJ6" i="35" s="1"/>
  <c r="Y6" i="35" a="1"/>
  <c r="Y6" i="35" s="1"/>
  <c r="Q6" i="35" a="1"/>
  <c r="Q6" i="35" s="1"/>
  <c r="Z6" i="35" a="1"/>
  <c r="Z6" i="35" s="1"/>
  <c r="AM6" i="35" a="1"/>
  <c r="AM6" i="35" s="1"/>
  <c r="W6" i="35" a="1"/>
  <c r="W6" i="35" s="1"/>
  <c r="AI6" i="35" a="1"/>
  <c r="AI6" i="35" s="1"/>
  <c r="R6" i="35" a="1"/>
  <c r="R6" i="35" s="1"/>
  <c r="H6" i="35" a="1"/>
  <c r="H6" i="35" s="1"/>
  <c r="G6" i="35" a="1"/>
  <c r="G6" i="35" s="1"/>
  <c r="K6" i="35" a="1"/>
  <c r="K6" i="35" s="1"/>
  <c r="AG6" i="35" a="1"/>
  <c r="AG6" i="35" s="1"/>
  <c r="X3" i="29" a="1"/>
  <c r="X3" i="29" s="1"/>
  <c r="AK3" i="29" a="1"/>
  <c r="AK3" i="29" s="1"/>
  <c r="Y3" i="29" a="1"/>
  <c r="Y3" i="29" s="1"/>
  <c r="U3" i="29" a="1"/>
  <c r="U3" i="29" s="1"/>
  <c r="AB3" i="29" a="1"/>
  <c r="AB3" i="29" s="1"/>
  <c r="AG3" i="29" a="1"/>
  <c r="AG3" i="29" s="1"/>
  <c r="P3" i="29" a="1"/>
  <c r="P3" i="29" s="1"/>
  <c r="AF3" i="29" a="1"/>
  <c r="AF3" i="29" s="1"/>
  <c r="AJ3" i="29" a="1"/>
  <c r="AJ3" i="29" s="1"/>
  <c r="W3" i="29" a="1"/>
  <c r="W3" i="29" s="1"/>
  <c r="T3" i="29" a="1"/>
  <c r="T3" i="29" s="1"/>
  <c r="M3" i="29" a="1"/>
  <c r="M3" i="29" s="1"/>
  <c r="AA3" i="29" a="1"/>
  <c r="AA3" i="29" s="1"/>
  <c r="H3" i="29" a="1"/>
  <c r="H3" i="29" s="1"/>
  <c r="V3" i="29" a="1"/>
  <c r="V3" i="29" s="1"/>
  <c r="Z3" i="29" a="1"/>
  <c r="Z3" i="29" s="1"/>
  <c r="G3" i="29" a="1"/>
  <c r="G3" i="29" s="1"/>
  <c r="N3" i="29" a="1"/>
  <c r="N3" i="29" s="1"/>
  <c r="J3" i="29" a="1"/>
  <c r="J3" i="29" s="1"/>
  <c r="F3" i="29" a="1"/>
  <c r="F3" i="29" s="1"/>
  <c r="AE3" i="29" a="1"/>
  <c r="AE3" i="29" s="1"/>
  <c r="I3" i="29" a="1"/>
  <c r="I3" i="29" s="1"/>
  <c r="AI3" i="29" a="1"/>
  <c r="AI3" i="29" s="1"/>
  <c r="AD3" i="29" a="1"/>
  <c r="AD3" i="29" s="1"/>
  <c r="R3" i="29" a="1"/>
  <c r="R3" i="29" s="1"/>
  <c r="S3" i="29" a="1"/>
  <c r="S3" i="29" s="1"/>
  <c r="AH3" i="29" a="1"/>
  <c r="AH3" i="29" s="1"/>
  <c r="L3" i="29" a="1"/>
  <c r="L3" i="29" s="1"/>
  <c r="O3" i="29" a="1"/>
  <c r="O3" i="29" s="1"/>
  <c r="AC3" i="29" a="1"/>
  <c r="AC3" i="29" s="1"/>
  <c r="Q3" i="29" a="1"/>
  <c r="Q3" i="29" s="1"/>
  <c r="AM3" i="29" a="1"/>
  <c r="AM3" i="29" s="1"/>
  <c r="AL3" i="29" a="1"/>
  <c r="AL3" i="29" s="1"/>
  <c r="K3" i="29" a="1"/>
  <c r="K3" i="29" s="1"/>
  <c r="AN3" i="29" a="1"/>
  <c r="AN3" i="29" s="1"/>
  <c r="O5" i="29" a="1"/>
  <c r="O5" i="29" s="1"/>
  <c r="AA5" i="29" a="1"/>
  <c r="AA5" i="29" s="1"/>
  <c r="M5" i="29" a="1"/>
  <c r="M5" i="29" s="1"/>
  <c r="AE5" i="29" a="1"/>
  <c r="AE5" i="29" s="1"/>
  <c r="AJ5" i="29" a="1"/>
  <c r="AJ5" i="29" s="1"/>
  <c r="R5" i="29" a="1"/>
  <c r="R5" i="29" s="1"/>
  <c r="AD5" i="29" a="1"/>
  <c r="AD5" i="29" s="1"/>
  <c r="AC5" i="29" a="1"/>
  <c r="AC5" i="29" s="1"/>
  <c r="H5" i="29" a="1"/>
  <c r="H5" i="29" s="1"/>
  <c r="N5" i="29" a="1"/>
  <c r="N5" i="29" s="1"/>
  <c r="Z5" i="29" a="1"/>
  <c r="Z5" i="29" s="1"/>
  <c r="AH5" i="29" a="1"/>
  <c r="AH5" i="29" s="1"/>
  <c r="U5" i="29" a="1"/>
  <c r="U5" i="29" s="1"/>
  <c r="P5" i="29" a="1"/>
  <c r="P5" i="29" s="1"/>
  <c r="S5" i="29" a="1"/>
  <c r="S5" i="29" s="1"/>
  <c r="AI5" i="29" a="1"/>
  <c r="AI5" i="29" s="1"/>
  <c r="T5" i="29" a="1"/>
  <c r="T5" i="29" s="1"/>
  <c r="L5" i="29" a="1"/>
  <c r="L5" i="29" s="1"/>
  <c r="Q5" i="29" a="1"/>
  <c r="Q5" i="29" s="1"/>
  <c r="Y5" i="29" a="1"/>
  <c r="Y5" i="29" s="1"/>
  <c r="X5" i="29" a="1"/>
  <c r="X5" i="29" s="1"/>
  <c r="J5" i="29" a="1"/>
  <c r="J5" i="29" s="1"/>
  <c r="AB5" i="29" a="1"/>
  <c r="AB5" i="29" s="1"/>
  <c r="V5" i="29" a="1"/>
  <c r="V5" i="29" s="1"/>
  <c r="AG5" i="29" a="1"/>
  <c r="AG5" i="29" s="1"/>
  <c r="F5" i="29" a="1"/>
  <c r="F5" i="29" s="1"/>
  <c r="W5" i="29" a="1"/>
  <c r="W5" i="29" s="1"/>
  <c r="I5" i="29" a="1"/>
  <c r="I5" i="29" s="1"/>
  <c r="G5" i="29" a="1"/>
  <c r="G5" i="29" s="1"/>
  <c r="AF5" i="29" a="1"/>
  <c r="AF5" i="29" s="1"/>
  <c r="AK5" i="29" a="1"/>
  <c r="AK5" i="29" s="1"/>
  <c r="AL5" i="29" a="1"/>
  <c r="AL5" i="29" s="1"/>
  <c r="AM5" i="29" a="1"/>
  <c r="AM5" i="29" s="1"/>
  <c r="K5" i="29" a="1"/>
  <c r="K5" i="29" s="1"/>
  <c r="AN5" i="29" a="1"/>
  <c r="AN5" i="29" s="1"/>
  <c r="AK4" i="29" a="1"/>
  <c r="AK4" i="29" s="1"/>
  <c r="AB4" i="29" a="1"/>
  <c r="AB4" i="29" s="1"/>
  <c r="AE4" i="29" a="1"/>
  <c r="AE4" i="29" s="1"/>
  <c r="X4" i="29" a="1"/>
  <c r="X4" i="29" s="1"/>
  <c r="V4" i="29" a="1"/>
  <c r="V4" i="29" s="1"/>
  <c r="AJ4" i="29" a="1"/>
  <c r="AJ4" i="29" s="1"/>
  <c r="W4" i="29" a="1"/>
  <c r="W4" i="29" s="1"/>
  <c r="AA4" i="29" a="1"/>
  <c r="AA4" i="29" s="1"/>
  <c r="H4" i="29" a="1"/>
  <c r="H4" i="29" s="1"/>
  <c r="AH4" i="29" a="1"/>
  <c r="AH4" i="29" s="1"/>
  <c r="O4" i="29" a="1"/>
  <c r="O4" i="29" s="1"/>
  <c r="G4" i="29" a="1"/>
  <c r="G4" i="29" s="1"/>
  <c r="R4" i="29" a="1"/>
  <c r="R4" i="29" s="1"/>
  <c r="Z4" i="29" a="1"/>
  <c r="Z4" i="29" s="1"/>
  <c r="T4" i="29" a="1"/>
  <c r="T4" i="29" s="1"/>
  <c r="N4" i="29" a="1"/>
  <c r="N4" i="29" s="1"/>
  <c r="L4" i="29" a="1"/>
  <c r="L4" i="29" s="1"/>
  <c r="M4" i="29" a="1"/>
  <c r="M4" i="29" s="1"/>
  <c r="U4" i="29" a="1"/>
  <c r="U4" i="29" s="1"/>
  <c r="Q4" i="29" a="1"/>
  <c r="Q4" i="29" s="1"/>
  <c r="AF4" i="29" a="1"/>
  <c r="AF4" i="29" s="1"/>
  <c r="F4" i="29" a="1"/>
  <c r="F4" i="29" s="1"/>
  <c r="S4" i="29" a="1"/>
  <c r="S4" i="29" s="1"/>
  <c r="J4" i="29" a="1"/>
  <c r="J4" i="29" s="1"/>
  <c r="P4" i="29" a="1"/>
  <c r="P4" i="29" s="1"/>
  <c r="AD4" i="29" a="1"/>
  <c r="AD4" i="29" s="1"/>
  <c r="AI4" i="29" a="1"/>
  <c r="AI4" i="29" s="1"/>
  <c r="AG4" i="29" a="1"/>
  <c r="AG4" i="29" s="1"/>
  <c r="I4" i="29" a="1"/>
  <c r="I4" i="29" s="1"/>
  <c r="Y4" i="29" a="1"/>
  <c r="Y4" i="29" s="1"/>
  <c r="AC4" i="29" a="1"/>
  <c r="AC4" i="29" s="1"/>
  <c r="AN4" i="29" a="1"/>
  <c r="AN4" i="29" s="1"/>
  <c r="AL4" i="29" a="1"/>
  <c r="AL4" i="29" s="1"/>
  <c r="K4" i="29" a="1"/>
  <c r="K4" i="29" s="1"/>
  <c r="AM4" i="29" a="1"/>
  <c r="AM4" i="29" s="1"/>
  <c r="AJ6" i="29" a="1"/>
  <c r="AJ6" i="29" s="1"/>
  <c r="AK6" i="29" a="1"/>
  <c r="AK6" i="29" s="1"/>
  <c r="J6" i="29" a="1"/>
  <c r="J6" i="29" s="1"/>
  <c r="H6" i="29" a="1"/>
  <c r="H6" i="29" s="1"/>
  <c r="M6" i="29" a="1"/>
  <c r="M6" i="29" s="1"/>
  <c r="O6" i="29" a="1"/>
  <c r="O6" i="29" s="1"/>
  <c r="G6" i="29" a="1"/>
  <c r="G6" i="29" s="1"/>
  <c r="F6" i="29" a="1"/>
  <c r="F6" i="29" s="1"/>
  <c r="L6" i="29" a="1"/>
  <c r="L6" i="29" s="1"/>
  <c r="AH6" i="29" a="1"/>
  <c r="AH6" i="29" s="1"/>
  <c r="AF6" i="29" a="1"/>
  <c r="AF6" i="29" s="1"/>
  <c r="S6" i="29" a="1"/>
  <c r="S6" i="29" s="1"/>
  <c r="Q6" i="29" a="1"/>
  <c r="Q6" i="29" s="1"/>
  <c r="AI6" i="29" a="1"/>
  <c r="AI6" i="29" s="1"/>
  <c r="V6" i="29" a="1"/>
  <c r="V6" i="29" s="1"/>
  <c r="AE6" i="29" a="1"/>
  <c r="AE6" i="29" s="1"/>
  <c r="AD6" i="29" a="1"/>
  <c r="AD6" i="29" s="1"/>
  <c r="U6" i="29" a="1"/>
  <c r="U6" i="29" s="1"/>
  <c r="T6" i="29" a="1"/>
  <c r="T6" i="29" s="1"/>
  <c r="AG6" i="29" a="1"/>
  <c r="AG6" i="29" s="1"/>
  <c r="Z6" i="29" a="1"/>
  <c r="Z6" i="29" s="1"/>
  <c r="X6" i="29" a="1"/>
  <c r="X6" i="29" s="1"/>
  <c r="W6" i="29" a="1"/>
  <c r="W6" i="29" s="1"/>
  <c r="P6" i="29" a="1"/>
  <c r="P6" i="29" s="1"/>
  <c r="AC6" i="29" a="1"/>
  <c r="AC6" i="29" s="1"/>
  <c r="I6" i="29" a="1"/>
  <c r="I6" i="29" s="1"/>
  <c r="Y6" i="29" a="1"/>
  <c r="Y6" i="29" s="1"/>
  <c r="AB6" i="29" a="1"/>
  <c r="AB6" i="29" s="1"/>
  <c r="R6" i="29" a="1"/>
  <c r="R6" i="29" s="1"/>
  <c r="N6" i="29" a="1"/>
  <c r="N6" i="29" s="1"/>
  <c r="AA6" i="29" a="1"/>
  <c r="AA6" i="29" s="1"/>
  <c r="AL6" i="29" a="1"/>
  <c r="AL6" i="29" s="1"/>
  <c r="AN6" i="29" a="1"/>
  <c r="AN6" i="29" s="1"/>
  <c r="K6" i="29" a="1"/>
  <c r="K6" i="29" s="1"/>
  <c r="AM6" i="29" a="1"/>
  <c r="AM6" i="29" s="1"/>
  <c r="J7" i="29" a="1"/>
  <c r="J7" i="29" s="1"/>
  <c r="Z7" i="29" a="1"/>
  <c r="Z7" i="29" s="1"/>
  <c r="AE7" i="29" a="1"/>
  <c r="AE7" i="29" s="1"/>
  <c r="T7" i="29" a="1"/>
  <c r="T7" i="29" s="1"/>
  <c r="R7" i="29" a="1"/>
  <c r="R7" i="29" s="1"/>
  <c r="F7" i="29" a="1"/>
  <c r="F7" i="29" s="1"/>
  <c r="M7" i="29" a="1"/>
  <c r="M7" i="29" s="1"/>
  <c r="Q7" i="29" a="1"/>
  <c r="Q7" i="29" s="1"/>
  <c r="AG7" i="29" a="1"/>
  <c r="AG7" i="29" s="1"/>
  <c r="AK7" i="29" a="1"/>
  <c r="AK7" i="29" s="1"/>
  <c r="Y7" i="29" a="1"/>
  <c r="Y7" i="29" s="1"/>
  <c r="AD7" i="29" a="1"/>
  <c r="AD7" i="29" s="1"/>
  <c r="AA7" i="29" a="1"/>
  <c r="AA7" i="29" s="1"/>
  <c r="H7" i="29" a="1"/>
  <c r="H7" i="29" s="1"/>
  <c r="I7" i="29" a="1"/>
  <c r="I7" i="29" s="1"/>
  <c r="G7" i="29" a="1"/>
  <c r="G7" i="29" s="1"/>
  <c r="AC7" i="29" a="1"/>
  <c r="AC7" i="29" s="1"/>
  <c r="AJ7" i="29" a="1"/>
  <c r="AJ7" i="29" s="1"/>
  <c r="AI7" i="29" a="1"/>
  <c r="AI7" i="29" s="1"/>
  <c r="V7" i="29" a="1"/>
  <c r="V7" i="29" s="1"/>
  <c r="AH7" i="29" a="1"/>
  <c r="AH7" i="29" s="1"/>
  <c r="O7" i="29" a="1"/>
  <c r="O7" i="29" s="1"/>
  <c r="W7" i="29" a="1"/>
  <c r="W7" i="29" s="1"/>
  <c r="AF7" i="29" a="1"/>
  <c r="AF7" i="29" s="1"/>
  <c r="N7" i="29" a="1"/>
  <c r="N7" i="29" s="1"/>
  <c r="X7" i="29" a="1"/>
  <c r="X7" i="29" s="1"/>
  <c r="AB7" i="29" a="1"/>
  <c r="AB7" i="29" s="1"/>
  <c r="P7" i="29" a="1"/>
  <c r="P7" i="29" s="1"/>
  <c r="U7" i="29" a="1"/>
  <c r="U7" i="29" s="1"/>
  <c r="S7" i="29" a="1"/>
  <c r="S7" i="29" s="1"/>
  <c r="L7" i="29" a="1"/>
  <c r="L7" i="29" s="1"/>
  <c r="AL7" i="29" a="1"/>
  <c r="AL7" i="29" s="1"/>
  <c r="AN7" i="29" a="1"/>
  <c r="AN7" i="29" s="1"/>
  <c r="K7" i="29" a="1"/>
  <c r="K7" i="29" s="1"/>
  <c r="AM7" i="29" a="1"/>
  <c r="AM7" i="29" s="1"/>
  <c r="G2" i="29" a="1"/>
  <c r="G2" i="29" s="1"/>
  <c r="AF2" i="29" a="1"/>
  <c r="AF2" i="29" s="1"/>
  <c r="AJ2" i="29" a="1"/>
  <c r="AJ2" i="29" s="1"/>
  <c r="M2" i="29" a="1"/>
  <c r="M2" i="29" s="1"/>
  <c r="X2" i="29" a="1"/>
  <c r="X2" i="29" s="1"/>
  <c r="I2" i="29" a="1"/>
  <c r="I2" i="29" s="1"/>
  <c r="W2" i="29" a="1"/>
  <c r="W2" i="29" s="1"/>
  <c r="AK2" i="29" a="1"/>
  <c r="AK2" i="29" s="1"/>
  <c r="N2" i="29" a="1"/>
  <c r="N2" i="29" s="1"/>
  <c r="AE2" i="29" a="1"/>
  <c r="AE2" i="29" s="1"/>
  <c r="AC2" i="29" a="1"/>
  <c r="AC2" i="29" s="1"/>
  <c r="AI2" i="29" a="1"/>
  <c r="AI2" i="29" s="1"/>
  <c r="V2" i="29" a="1"/>
  <c r="V2" i="29" s="1"/>
  <c r="Q2" i="29" a="1"/>
  <c r="Q2" i="29" s="1"/>
  <c r="F2" i="29" a="1"/>
  <c r="F2" i="29" s="1"/>
  <c r="AH2" i="29" a="1"/>
  <c r="AH2" i="29" s="1"/>
  <c r="AG2" i="29" a="1"/>
  <c r="AG2" i="29" s="1"/>
  <c r="R2" i="29" a="1"/>
  <c r="R2" i="29" s="1"/>
  <c r="T2" i="29" a="1"/>
  <c r="T2" i="29" s="1"/>
  <c r="L2" i="29" a="1"/>
  <c r="L2" i="29" s="1"/>
  <c r="S2" i="29" a="1"/>
  <c r="S2" i="29" s="1"/>
  <c r="AM2" i="29" a="1"/>
  <c r="AM2" i="29" s="1"/>
  <c r="AA2" i="29" a="1"/>
  <c r="AA2" i="29" s="1"/>
  <c r="Z2" i="29" a="1"/>
  <c r="Z2" i="29" s="1"/>
  <c r="U2" i="29" a="1"/>
  <c r="U2" i="29" s="1"/>
  <c r="J2" i="29" a="1"/>
  <c r="J2" i="29" s="1"/>
  <c r="AB2" i="29" a="1"/>
  <c r="AB2" i="29" s="1"/>
  <c r="AD2" i="29" a="1"/>
  <c r="AD2" i="29" s="1"/>
  <c r="O2" i="29" a="1"/>
  <c r="O2" i="29" s="1"/>
  <c r="P2" i="29" a="1"/>
  <c r="P2" i="29" s="1"/>
  <c r="Y2" i="29" a="1"/>
  <c r="Y2" i="29" s="1"/>
  <c r="H2" i="29" a="1"/>
  <c r="H2" i="29" s="1"/>
  <c r="AN2" i="29" a="1"/>
  <c r="AN2" i="29" s="1"/>
  <c r="AL2" i="29" a="1"/>
  <c r="AL2" i="29" s="1"/>
  <c r="K2" i="29" a="1"/>
  <c r="K2" i="29" s="1"/>
  <c r="E10" i="17"/>
  <c r="U8" i="31" a="1"/>
  <c r="U8" i="31" s="1"/>
  <c r="T8" i="31" a="1"/>
  <c r="T8" i="31" s="1"/>
  <c r="P8" i="31" a="1"/>
  <c r="P8" i="31" s="1"/>
  <c r="Q8" i="31" a="1"/>
  <c r="Q8" i="31" s="1"/>
  <c r="AI8" i="31" a="1"/>
  <c r="AI8" i="31" s="1"/>
  <c r="AJ8" i="31" a="1"/>
  <c r="AJ8" i="31" s="1"/>
  <c r="H8" i="31" a="1"/>
  <c r="H8" i="31" s="1"/>
  <c r="O8" i="31" a="1"/>
  <c r="O8" i="31" s="1"/>
  <c r="AM8" i="31" a="1"/>
  <c r="AM8" i="31" s="1"/>
  <c r="S8" i="31" a="1"/>
  <c r="S8" i="31" s="1"/>
  <c r="Z8" i="31" a="1"/>
  <c r="Z8" i="31" s="1"/>
  <c r="W8" i="31" a="1"/>
  <c r="W8" i="31" s="1"/>
  <c r="AD8" i="31" a="1"/>
  <c r="AD8" i="31" s="1"/>
  <c r="AB8" i="31" a="1"/>
  <c r="AB8" i="31" s="1"/>
  <c r="AA8" i="31" a="1"/>
  <c r="AA8" i="31" s="1"/>
  <c r="M8" i="31" a="1"/>
  <c r="M8" i="31" s="1"/>
  <c r="J8" i="31" a="1"/>
  <c r="J8" i="31" s="1"/>
  <c r="AF8" i="31" a="1"/>
  <c r="AF8" i="31" s="1"/>
  <c r="V8" i="31" a="1"/>
  <c r="V8" i="31" s="1"/>
  <c r="N8" i="31" a="1"/>
  <c r="N8" i="31" s="1"/>
  <c r="AH8" i="31" a="1"/>
  <c r="AH8" i="31" s="1"/>
  <c r="R8" i="31" a="1"/>
  <c r="R8" i="31" s="1"/>
  <c r="Y8" i="31" a="1"/>
  <c r="Y8" i="31" s="1"/>
  <c r="AK8" i="31" a="1"/>
  <c r="AK8" i="31" s="1"/>
  <c r="X8" i="31" a="1"/>
  <c r="X8" i="31" s="1"/>
  <c r="L8" i="31" a="1"/>
  <c r="L8" i="31" s="1"/>
  <c r="AC8" i="31" a="1"/>
  <c r="AC8" i="31" s="1"/>
  <c r="I8" i="31" a="1"/>
  <c r="I8" i="31" s="1"/>
  <c r="AG8" i="31" a="1"/>
  <c r="AG8" i="31" s="1"/>
  <c r="AE8" i="31" a="1"/>
  <c r="AE8" i="31" s="1"/>
  <c r="K8" i="31" a="1"/>
  <c r="K8" i="31" s="1"/>
  <c r="AL8" i="31" a="1"/>
  <c r="AL8" i="31" s="1"/>
  <c r="J6" i="31" a="1"/>
  <c r="J6" i="31" s="1"/>
  <c r="AC6" i="31" a="1"/>
  <c r="AC6" i="31" s="1"/>
  <c r="R6" i="31" a="1"/>
  <c r="R6" i="31" s="1"/>
  <c r="Z6" i="31" a="1"/>
  <c r="Z6" i="31" s="1"/>
  <c r="S6" i="31" a="1"/>
  <c r="S6" i="31" s="1"/>
  <c r="AA6" i="31" a="1"/>
  <c r="AA6" i="31" s="1"/>
  <c r="AB6" i="31" a="1"/>
  <c r="AB6" i="31" s="1"/>
  <c r="Y6" i="31" a="1"/>
  <c r="Y6" i="31" s="1"/>
  <c r="AH6" i="31" a="1"/>
  <c r="AH6" i="31" s="1"/>
  <c r="AD6" i="31" a="1"/>
  <c r="AD6" i="31" s="1"/>
  <c r="AF6" i="31" a="1"/>
  <c r="AF6" i="31" s="1"/>
  <c r="AI6" i="31" a="1"/>
  <c r="AI6" i="31" s="1"/>
  <c r="AJ6" i="31" a="1"/>
  <c r="AJ6" i="31" s="1"/>
  <c r="AK6" i="31" a="1"/>
  <c r="AK6" i="31" s="1"/>
  <c r="H6" i="31" a="1"/>
  <c r="H6" i="31" s="1"/>
  <c r="AL6" i="31" a="1"/>
  <c r="AL6" i="31" s="1"/>
  <c r="Q6" i="31" a="1"/>
  <c r="Q6" i="31" s="1"/>
  <c r="N6" i="31" a="1"/>
  <c r="N6" i="31" s="1"/>
  <c r="I6" i="31" a="1"/>
  <c r="I6" i="31" s="1"/>
  <c r="M6" i="31" a="1"/>
  <c r="M6" i="31" s="1"/>
  <c r="O6" i="31" a="1"/>
  <c r="O6" i="31" s="1"/>
  <c r="AE6" i="31" a="1"/>
  <c r="AE6" i="31" s="1"/>
  <c r="AM6" i="31" a="1"/>
  <c r="AM6" i="31" s="1"/>
  <c r="V6" i="31" a="1"/>
  <c r="V6" i="31" s="1"/>
  <c r="P6" i="31" a="1"/>
  <c r="P6" i="31" s="1"/>
  <c r="AG6" i="31" a="1"/>
  <c r="AG6" i="31" s="1"/>
  <c r="U6" i="31" a="1"/>
  <c r="U6" i="31" s="1"/>
  <c r="W6" i="31" a="1"/>
  <c r="W6" i="31" s="1"/>
  <c r="T6" i="31" a="1"/>
  <c r="T6" i="31" s="1"/>
  <c r="X6" i="31" a="1"/>
  <c r="X6" i="31" s="1"/>
  <c r="K6" i="31" a="1"/>
  <c r="K6" i="31" s="1"/>
  <c r="L6" i="31" a="1"/>
  <c r="L6" i="31" s="1"/>
  <c r="AI9" i="31" a="1"/>
  <c r="AI9" i="31" s="1"/>
  <c r="H9" i="31" a="1"/>
  <c r="H9" i="31" s="1"/>
  <c r="AF9" i="31" a="1"/>
  <c r="AF9" i="31" s="1"/>
  <c r="AD9" i="31" a="1"/>
  <c r="AD9" i="31" s="1"/>
  <c r="AK9" i="31" a="1"/>
  <c r="AK9" i="31" s="1"/>
  <c r="AB9" i="31" a="1"/>
  <c r="AB9" i="31" s="1"/>
  <c r="AE9" i="31" a="1"/>
  <c r="AE9" i="31" s="1"/>
  <c r="L9" i="31" a="1"/>
  <c r="L9" i="31" s="1"/>
  <c r="X9" i="31" a="1"/>
  <c r="X9" i="31" s="1"/>
  <c r="Z9" i="31" a="1"/>
  <c r="Z9" i="31" s="1"/>
  <c r="V9" i="31" a="1"/>
  <c r="V9" i="31" s="1"/>
  <c r="AL9" i="31" a="1"/>
  <c r="AL9" i="31" s="1"/>
  <c r="AA9" i="31" a="1"/>
  <c r="AA9" i="31" s="1"/>
  <c r="J9" i="31" a="1"/>
  <c r="J9" i="31" s="1"/>
  <c r="Q9" i="31" a="1"/>
  <c r="Q9" i="31" s="1"/>
  <c r="AM9" i="31" a="1"/>
  <c r="AM9" i="31" s="1"/>
  <c r="T9" i="31" a="1"/>
  <c r="T9" i="31" s="1"/>
  <c r="W9" i="31" a="1"/>
  <c r="W9" i="31" s="1"/>
  <c r="I9" i="31" a="1"/>
  <c r="I9" i="31" s="1"/>
  <c r="AH9" i="31" a="1"/>
  <c r="AH9" i="31" s="1"/>
  <c r="S9" i="31" a="1"/>
  <c r="S9" i="31" s="1"/>
  <c r="AJ9" i="31" a="1"/>
  <c r="AJ9" i="31" s="1"/>
  <c r="P9" i="31" a="1"/>
  <c r="P9" i="31" s="1"/>
  <c r="N9" i="31" a="1"/>
  <c r="N9" i="31" s="1"/>
  <c r="U9" i="31" a="1"/>
  <c r="U9" i="31" s="1"/>
  <c r="M9" i="31" a="1"/>
  <c r="M9" i="31" s="1"/>
  <c r="Y9" i="31" a="1"/>
  <c r="Y9" i="31" s="1"/>
  <c r="AG9" i="31" a="1"/>
  <c r="AG9" i="31" s="1"/>
  <c r="R9" i="31" a="1"/>
  <c r="R9" i="31" s="1"/>
  <c r="O9" i="31" a="1"/>
  <c r="O9" i="31" s="1"/>
  <c r="K9" i="31" a="1"/>
  <c r="K9" i="31" s="1"/>
  <c r="AC9" i="31" a="1"/>
  <c r="AC9" i="31" s="1"/>
  <c r="Q10" i="31" a="1"/>
  <c r="Q10" i="31" s="1"/>
  <c r="N10" i="31" a="1"/>
  <c r="N10" i="31" s="1"/>
  <c r="S10" i="31" a="1"/>
  <c r="S10" i="31" s="1"/>
  <c r="T10" i="31" a="1"/>
  <c r="T10" i="31" s="1"/>
  <c r="AB10" i="31" a="1"/>
  <c r="AB10" i="31" s="1"/>
  <c r="M10" i="31" a="1"/>
  <c r="M10" i="31" s="1"/>
  <c r="AD10" i="31" a="1"/>
  <c r="AD10" i="31" s="1"/>
  <c r="AL10" i="31" a="1"/>
  <c r="AL10" i="31" s="1"/>
  <c r="AA10" i="31" a="1"/>
  <c r="AA10" i="31" s="1"/>
  <c r="AK10" i="31" a="1"/>
  <c r="AK10" i="31" s="1"/>
  <c r="I10" i="31" a="1"/>
  <c r="I10" i="31" s="1"/>
  <c r="AM10" i="31" a="1"/>
  <c r="AM10" i="31" s="1"/>
  <c r="J10" i="31" a="1"/>
  <c r="J10" i="31" s="1"/>
  <c r="V10" i="31" a="1"/>
  <c r="V10" i="31" s="1"/>
  <c r="O10" i="31" a="1"/>
  <c r="O10" i="31" s="1"/>
  <c r="L10" i="31" a="1"/>
  <c r="L10" i="31" s="1"/>
  <c r="AH10" i="31" a="1"/>
  <c r="AH10" i="31" s="1"/>
  <c r="U10" i="31" a="1"/>
  <c r="U10" i="31" s="1"/>
  <c r="AF10" i="31" a="1"/>
  <c r="AF10" i="31" s="1"/>
  <c r="AJ10" i="31" a="1"/>
  <c r="AJ10" i="31" s="1"/>
  <c r="AG10" i="31" a="1"/>
  <c r="AG10" i="31" s="1"/>
  <c r="R10" i="31" a="1"/>
  <c r="R10" i="31" s="1"/>
  <c r="W10" i="31" a="1"/>
  <c r="W10" i="31" s="1"/>
  <c r="H10" i="31" a="1"/>
  <c r="H10" i="31" s="1"/>
  <c r="P10" i="31" a="1"/>
  <c r="P10" i="31" s="1"/>
  <c r="Y10" i="31" a="1"/>
  <c r="Y10" i="31" s="1"/>
  <c r="AI10" i="31" a="1"/>
  <c r="AI10" i="31" s="1"/>
  <c r="AE10" i="31" a="1"/>
  <c r="AE10" i="31" s="1"/>
  <c r="X10" i="31" a="1"/>
  <c r="X10" i="31" s="1"/>
  <c r="AC10" i="31" a="1"/>
  <c r="AC10" i="31" s="1"/>
  <c r="K10" i="31" a="1"/>
  <c r="K10" i="31" s="1"/>
  <c r="Z10" i="31" a="1"/>
  <c r="Z10" i="31" s="1"/>
  <c r="U4" i="31" a="1"/>
  <c r="U4" i="31" s="1"/>
  <c r="AI4" i="31" a="1"/>
  <c r="AI4" i="31" s="1"/>
  <c r="M4" i="31" a="1"/>
  <c r="M4" i="31" s="1"/>
  <c r="AA4" i="31" a="1"/>
  <c r="AA4" i="31" s="1"/>
  <c r="H4" i="31" a="1"/>
  <c r="H4" i="31" s="1"/>
  <c r="AM4" i="31" a="1"/>
  <c r="AM4" i="31" s="1"/>
  <c r="X4" i="31" a="1"/>
  <c r="X4" i="31" s="1"/>
  <c r="N4" i="31" a="1"/>
  <c r="N4" i="31" s="1"/>
  <c r="O4" i="31" a="1"/>
  <c r="O4" i="31" s="1"/>
  <c r="AF4" i="31" a="1"/>
  <c r="AF4" i="31" s="1"/>
  <c r="AL4" i="31" a="1"/>
  <c r="AL4" i="31" s="1"/>
  <c r="AJ4" i="31" a="1"/>
  <c r="AJ4" i="31" s="1"/>
  <c r="R4" i="31" a="1"/>
  <c r="R4" i="31" s="1"/>
  <c r="Q4" i="31" a="1"/>
  <c r="Q4" i="31" s="1"/>
  <c r="AC4" i="31" a="1"/>
  <c r="AC4" i="31" s="1"/>
  <c r="V4" i="31" a="1"/>
  <c r="V4" i="31" s="1"/>
  <c r="AK4" i="31" a="1"/>
  <c r="AK4" i="31" s="1"/>
  <c r="W4" i="31" a="1"/>
  <c r="W4" i="31" s="1"/>
  <c r="AB4" i="31" a="1"/>
  <c r="AB4" i="31" s="1"/>
  <c r="AH4" i="31" a="1"/>
  <c r="AH4" i="31" s="1"/>
  <c r="AE4" i="31" a="1"/>
  <c r="AE4" i="31" s="1"/>
  <c r="Z4" i="31" a="1"/>
  <c r="Z4" i="31" s="1"/>
  <c r="Y4" i="31" a="1"/>
  <c r="Y4" i="31" s="1"/>
  <c r="I4" i="31" a="1"/>
  <c r="I4" i="31" s="1"/>
  <c r="S4" i="31" a="1"/>
  <c r="S4" i="31" s="1"/>
  <c r="L4" i="31" a="1"/>
  <c r="L4" i="31" s="1"/>
  <c r="AD4" i="31" a="1"/>
  <c r="AD4" i="31" s="1"/>
  <c r="J4" i="31" a="1"/>
  <c r="J4" i="31" s="1"/>
  <c r="AG4" i="31" a="1"/>
  <c r="AG4" i="31" s="1"/>
  <c r="T4" i="31" a="1"/>
  <c r="T4" i="31" s="1"/>
  <c r="K4" i="31" a="1"/>
  <c r="K4" i="31" s="1"/>
  <c r="P4" i="31" a="1"/>
  <c r="P4" i="31" s="1"/>
  <c r="M3" i="31" a="1"/>
  <c r="M3" i="31" s="1"/>
  <c r="P3" i="31" a="1"/>
  <c r="P3" i="31" s="1"/>
  <c r="T3" i="31" a="1"/>
  <c r="T3" i="31" s="1"/>
  <c r="I3" i="31" a="1"/>
  <c r="I3" i="31" s="1"/>
  <c r="Y3" i="31" a="1"/>
  <c r="Y3" i="31" s="1"/>
  <c r="AA3" i="31" a="1"/>
  <c r="AA3" i="31" s="1"/>
  <c r="Q3" i="31" a="1"/>
  <c r="Q3" i="31" s="1"/>
  <c r="X3" i="31" a="1"/>
  <c r="X3" i="31" s="1"/>
  <c r="AF3" i="31" a="1"/>
  <c r="AF3" i="31" s="1"/>
  <c r="AE3" i="31" a="1"/>
  <c r="AE3" i="31" s="1"/>
  <c r="AC3" i="31" a="1"/>
  <c r="AC3" i="31" s="1"/>
  <c r="W3" i="31" a="1"/>
  <c r="W3" i="31" s="1"/>
  <c r="U3" i="31" a="1"/>
  <c r="U3" i="31" s="1"/>
  <c r="AJ3" i="31" a="1"/>
  <c r="AJ3" i="31" s="1"/>
  <c r="AK3" i="31" a="1"/>
  <c r="AK3" i="31" s="1"/>
  <c r="AL3" i="31" a="1"/>
  <c r="AL3" i="31" s="1"/>
  <c r="AH3" i="31" a="1"/>
  <c r="AH3" i="31" s="1"/>
  <c r="Z3" i="31" a="1"/>
  <c r="Z3" i="31" s="1"/>
  <c r="V3" i="31" a="1"/>
  <c r="V3" i="31" s="1"/>
  <c r="AI3" i="31" a="1"/>
  <c r="AI3" i="31" s="1"/>
  <c r="L3" i="31" a="1"/>
  <c r="L3" i="31" s="1"/>
  <c r="AG3" i="31" a="1"/>
  <c r="AG3" i="31" s="1"/>
  <c r="N3" i="31" a="1"/>
  <c r="N3" i="31" s="1"/>
  <c r="AM3" i="31" a="1"/>
  <c r="AM3" i="31" s="1"/>
  <c r="AB3" i="31" a="1"/>
  <c r="AB3" i="31" s="1"/>
  <c r="H3" i="31" a="1"/>
  <c r="H3" i="31" s="1"/>
  <c r="S3" i="31" a="1"/>
  <c r="S3" i="31" s="1"/>
  <c r="O3" i="31" a="1"/>
  <c r="O3" i="31" s="1"/>
  <c r="J3" i="31" a="1"/>
  <c r="J3" i="31" s="1"/>
  <c r="AD3" i="31" a="1"/>
  <c r="AD3" i="31" s="1"/>
  <c r="K3" i="31" a="1"/>
  <c r="K3" i="31" s="1"/>
  <c r="R3" i="31" a="1"/>
  <c r="R3" i="31" s="1"/>
  <c r="T2" i="31" a="1"/>
  <c r="T2" i="31" s="1"/>
  <c r="AH2" i="31" a="1"/>
  <c r="AH2" i="31" s="1"/>
  <c r="AL2" i="31" a="1"/>
  <c r="AL2" i="31" s="1"/>
  <c r="H2" i="31" a="1"/>
  <c r="H2" i="31" s="1"/>
  <c r="L2" i="31" a="1"/>
  <c r="L2" i="31" s="1"/>
  <c r="I2" i="31" a="1"/>
  <c r="I2" i="31" s="1"/>
  <c r="V2" i="31" a="1"/>
  <c r="V2" i="31" s="1"/>
  <c r="U2" i="31" a="1"/>
  <c r="U2" i="31" s="1"/>
  <c r="J2" i="31" a="1"/>
  <c r="J2" i="31" s="1"/>
  <c r="W2" i="31" a="1"/>
  <c r="W2" i="31" s="1"/>
  <c r="P2" i="31" a="1"/>
  <c r="P2" i="31" s="1"/>
  <c r="N2" i="31" a="1"/>
  <c r="N2" i="31" s="1"/>
  <c r="AB2" i="31" a="1"/>
  <c r="AB2" i="31" s="1"/>
  <c r="AF2" i="31" a="1"/>
  <c r="AF2" i="31" s="1"/>
  <c r="Z2" i="31" a="1"/>
  <c r="Z2" i="31" s="1"/>
  <c r="AM2" i="31" a="1"/>
  <c r="AM2" i="31" s="1"/>
  <c r="X2" i="31" a="1"/>
  <c r="X2" i="31" s="1"/>
  <c r="AD2" i="31" a="1"/>
  <c r="AD2" i="31" s="1"/>
  <c r="AK2" i="31" a="1"/>
  <c r="AK2" i="31" s="1"/>
  <c r="AG2" i="31" a="1"/>
  <c r="AG2" i="31" s="1"/>
  <c r="AA2" i="31" a="1"/>
  <c r="AA2" i="31" s="1"/>
  <c r="AI2" i="31" a="1"/>
  <c r="AI2" i="31" s="1"/>
  <c r="AJ2" i="31" a="1"/>
  <c r="AJ2" i="31" s="1"/>
  <c r="Y2" i="31" a="1"/>
  <c r="Y2" i="31" s="1"/>
  <c r="M2" i="31" a="1"/>
  <c r="M2" i="31" s="1"/>
  <c r="R2" i="31" a="1"/>
  <c r="R2" i="31" s="1"/>
  <c r="AC2" i="31" a="1"/>
  <c r="AC2" i="31" s="1"/>
  <c r="AE2" i="31" a="1"/>
  <c r="AE2" i="31" s="1"/>
  <c r="S2" i="31" a="1"/>
  <c r="S2" i="31" s="1"/>
  <c r="O2" i="31" a="1"/>
  <c r="O2" i="31" s="1"/>
  <c r="Q2" i="31" a="1"/>
  <c r="Q2" i="31" s="1"/>
  <c r="K2" i="31" a="1"/>
  <c r="K2" i="31" s="1"/>
  <c r="AM7" i="31" a="1"/>
  <c r="AM7" i="31" s="1"/>
  <c r="T7" i="31" a="1"/>
  <c r="T7" i="31" s="1"/>
  <c r="AF7" i="31" a="1"/>
  <c r="AF7" i="31" s="1"/>
  <c r="P7" i="31" a="1"/>
  <c r="P7" i="31" s="1"/>
  <c r="V7" i="31" a="1"/>
  <c r="V7" i="31" s="1"/>
  <c r="Z7" i="31" a="1"/>
  <c r="Z7" i="31" s="1"/>
  <c r="Q7" i="31" a="1"/>
  <c r="Q7" i="31" s="1"/>
  <c r="Y7" i="31" a="1"/>
  <c r="Y7" i="31" s="1"/>
  <c r="N7" i="31" a="1"/>
  <c r="N7" i="31" s="1"/>
  <c r="AL7" i="31" a="1"/>
  <c r="AL7" i="31" s="1"/>
  <c r="AB7" i="31" a="1"/>
  <c r="AB7" i="31" s="1"/>
  <c r="X7" i="31" a="1"/>
  <c r="X7" i="31" s="1"/>
  <c r="H7" i="31" a="1"/>
  <c r="H7" i="31" s="1"/>
  <c r="AC7" i="31" a="1"/>
  <c r="AC7" i="31" s="1"/>
  <c r="M7" i="31" a="1"/>
  <c r="M7" i="31" s="1"/>
  <c r="AJ7" i="31" a="1"/>
  <c r="AJ7" i="31" s="1"/>
  <c r="AK7" i="31" a="1"/>
  <c r="AK7" i="31" s="1"/>
  <c r="AE7" i="31" a="1"/>
  <c r="AE7" i="31" s="1"/>
  <c r="R7" i="31" a="1"/>
  <c r="R7" i="31" s="1"/>
  <c r="I7" i="31" a="1"/>
  <c r="I7" i="31" s="1"/>
  <c r="AG7" i="31" a="1"/>
  <c r="AG7" i="31" s="1"/>
  <c r="AD7" i="31" a="1"/>
  <c r="AD7" i="31" s="1"/>
  <c r="AH7" i="31" a="1"/>
  <c r="AH7" i="31" s="1"/>
  <c r="L7" i="31" a="1"/>
  <c r="L7" i="31" s="1"/>
  <c r="S7" i="31" a="1"/>
  <c r="S7" i="31" s="1"/>
  <c r="J7" i="31" a="1"/>
  <c r="J7" i="31" s="1"/>
  <c r="AI7" i="31" a="1"/>
  <c r="AI7" i="31" s="1"/>
  <c r="O7" i="31" a="1"/>
  <c r="O7" i="31" s="1"/>
  <c r="U7" i="31" a="1"/>
  <c r="U7" i="31" s="1"/>
  <c r="AA7" i="31" a="1"/>
  <c r="AA7" i="31" s="1"/>
  <c r="K7" i="31" a="1"/>
  <c r="K7" i="31" s="1"/>
  <c r="W7" i="31" a="1"/>
  <c r="W7" i="31" s="1"/>
  <c r="AI5" i="31" a="1"/>
  <c r="AI5" i="31" s="1"/>
  <c r="O5" i="31" a="1"/>
  <c r="O5" i="31" s="1"/>
  <c r="H5" i="31" a="1"/>
  <c r="H5" i="31" s="1"/>
  <c r="W5" i="31" a="1"/>
  <c r="W5" i="31" s="1"/>
  <c r="M5" i="31" a="1"/>
  <c r="M5" i="31" s="1"/>
  <c r="J5" i="31" a="1"/>
  <c r="J5" i="31" s="1"/>
  <c r="Y5" i="31" a="1"/>
  <c r="Y5" i="31" s="1"/>
  <c r="I5" i="31" a="1"/>
  <c r="I5" i="31" s="1"/>
  <c r="AF5" i="31" a="1"/>
  <c r="AF5" i="31" s="1"/>
  <c r="N5" i="31" a="1"/>
  <c r="N5" i="31" s="1"/>
  <c r="P5" i="31" a="1"/>
  <c r="P5" i="31" s="1"/>
  <c r="Q5" i="31" a="1"/>
  <c r="Q5" i="31" s="1"/>
  <c r="AE5" i="31" a="1"/>
  <c r="AE5" i="31" s="1"/>
  <c r="V5" i="31" a="1"/>
  <c r="V5" i="31" s="1"/>
  <c r="S5" i="31" a="1"/>
  <c r="S5" i="31" s="1"/>
  <c r="R5" i="31" a="1"/>
  <c r="R5" i="31" s="1"/>
  <c r="AM5" i="31" a="1"/>
  <c r="AM5" i="31" s="1"/>
  <c r="X5" i="31" a="1"/>
  <c r="X5" i="31" s="1"/>
  <c r="AL5" i="31" a="1"/>
  <c r="AL5" i="31" s="1"/>
  <c r="AB5" i="31" a="1"/>
  <c r="AB5" i="31" s="1"/>
  <c r="AJ5" i="31" a="1"/>
  <c r="AJ5" i="31" s="1"/>
  <c r="AA5" i="31" a="1"/>
  <c r="AA5" i="31" s="1"/>
  <c r="AG5" i="31" a="1"/>
  <c r="AG5" i="31" s="1"/>
  <c r="L5" i="31" a="1"/>
  <c r="L5" i="31" s="1"/>
  <c r="AC5" i="31" a="1"/>
  <c r="AC5" i="31" s="1"/>
  <c r="U5" i="31" a="1"/>
  <c r="U5" i="31" s="1"/>
  <c r="AD5" i="31" a="1"/>
  <c r="AD5" i="31" s="1"/>
  <c r="AH5" i="31" a="1"/>
  <c r="AH5" i="31" s="1"/>
  <c r="AK5" i="31" a="1"/>
  <c r="AK5" i="31" s="1"/>
  <c r="Z5" i="31" a="1"/>
  <c r="Z5" i="31" s="1"/>
  <c r="K5" i="31" a="1"/>
  <c r="K5" i="31" s="1"/>
  <c r="T5" i="31" a="1"/>
  <c r="T5" i="31" s="1"/>
  <c r="AG11" i="31" a="1"/>
  <c r="AG11" i="31" s="1"/>
  <c r="K11" i="31" a="1"/>
  <c r="K11" i="31" s="1"/>
  <c r="AF11" i="31" a="1"/>
  <c r="AF11" i="31" s="1"/>
  <c r="T11" i="31" a="1"/>
  <c r="T11" i="31" s="1"/>
  <c r="AI11" i="31" a="1"/>
  <c r="AI11" i="31" s="1"/>
  <c r="AM11" i="31" a="1"/>
  <c r="AM11" i="31" s="1"/>
  <c r="L11" i="31" a="1"/>
  <c r="L11" i="31" s="1"/>
  <c r="Z11" i="31" a="1"/>
  <c r="Z11" i="31" s="1"/>
  <c r="I11" i="31" a="1"/>
  <c r="I11" i="31" s="1"/>
  <c r="AC11" i="31" a="1"/>
  <c r="AC11" i="31" s="1"/>
  <c r="N11" i="31" a="1"/>
  <c r="N11" i="31" s="1"/>
  <c r="U11" i="31" a="1"/>
  <c r="U11" i="31" s="1"/>
  <c r="AH11" i="31" a="1"/>
  <c r="AH11" i="31" s="1"/>
  <c r="O11" i="31" a="1"/>
  <c r="O11" i="31" s="1"/>
  <c r="M11" i="31" a="1"/>
  <c r="M11" i="31" s="1"/>
  <c r="E12" i="17"/>
  <c r="Y11" i="31" a="1"/>
  <c r="Y11" i="31" s="1"/>
  <c r="H11" i="31" a="1"/>
  <c r="H11" i="31" s="1"/>
  <c r="V11" i="31" a="1"/>
  <c r="V11" i="31" s="1"/>
  <c r="AB11" i="31" a="1"/>
  <c r="AB11" i="31" s="1"/>
  <c r="AE11" i="31" a="1"/>
  <c r="AE11" i="31" s="1"/>
  <c r="AD11" i="31" a="1"/>
  <c r="AD11" i="31" s="1"/>
  <c r="W11" i="31" a="1"/>
  <c r="W11" i="31" s="1"/>
  <c r="X11" i="31" a="1"/>
  <c r="X11" i="31" s="1"/>
  <c r="R11" i="31" a="1"/>
  <c r="R11" i="31" s="1"/>
  <c r="AA11" i="31" a="1"/>
  <c r="AA11" i="31" s="1"/>
  <c r="AJ11" i="31" a="1"/>
  <c r="AJ11" i="31" s="1"/>
  <c r="P11" i="31" a="1"/>
  <c r="P11" i="31" s="1"/>
  <c r="Q11" i="31" a="1"/>
  <c r="Q11" i="31" s="1"/>
  <c r="AK11" i="31" a="1"/>
  <c r="AK11" i="31" s="1"/>
  <c r="S11" i="31" a="1"/>
  <c r="S11" i="31" s="1"/>
  <c r="AL11" i="31" a="1"/>
  <c r="AL11" i="31" s="1"/>
  <c r="G11" i="31" a="1"/>
  <c r="G11" i="31" s="1"/>
  <c r="E11" i="31" a="1"/>
  <c r="E11" i="31" s="1"/>
  <c r="J11" i="31" a="1"/>
  <c r="J11" i="31" s="1"/>
  <c r="F11" i="31" a="1"/>
  <c r="F11" i="3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<sst xmlns="http://schemas.openxmlformats.org/spreadsheetml/2006/main" count="5270" uniqueCount="409">
  <si>
    <t>LoginCredentials</t>
  </si>
  <si>
    <t>sumit.choudhary@delta.com;Delta2</t>
  </si>
  <si>
    <t>ShipmentContains</t>
  </si>
  <si>
    <t>ShipmentWeightAndWeightUnits</t>
  </si>
  <si>
    <t>ShipmentQuantityDimensionsAndUnits</t>
  </si>
  <si>
    <t>ShipmentVolumeUnit</t>
  </si>
  <si>
    <t>ShipmentDoPiecesBeRotated</t>
  </si>
  <si>
    <t>ShipmentDoPiecesContainDangerousGoods</t>
  </si>
  <si>
    <t>ShipmentBePreScreened</t>
  </si>
  <si>
    <t>ShipmentRoutingDetail</t>
  </si>
  <si>
    <t>ShipmentCalendarDate</t>
  </si>
  <si>
    <t>RecipientInformationAccountNumber</t>
  </si>
  <si>
    <t>ShipmentTemplateName</t>
  </si>
  <si>
    <t>ShipmentPaymentMethod</t>
  </si>
  <si>
    <t>ShipmentMethod</t>
  </si>
  <si>
    <t>General Cargo</t>
  </si>
  <si>
    <t>Loose</t>
  </si>
  <si>
    <t>20;LB</t>
  </si>
  <si>
    <t>1;10x10x10;IN</t>
  </si>
  <si>
    <t>Cubic Feet</t>
  </si>
  <si>
    <t>No</t>
  </si>
  <si>
    <t>GeneralCargoTemplate</t>
  </si>
  <si>
    <t>CreditCard</t>
  </si>
  <si>
    <t>000260018</t>
  </si>
  <si>
    <t>ShipmentTypeFromTheList</t>
  </si>
  <si>
    <t>Standard</t>
  </si>
  <si>
    <t>Dash</t>
  </si>
  <si>
    <t>Perishables</t>
  </si>
  <si>
    <t>Containerized</t>
  </si>
  <si>
    <t>1;20;LB</t>
  </si>
  <si>
    <t>createAndConfirmBookingForParcelOptionsUsingGuidedBooking</t>
  </si>
  <si>
    <t>createAndConfirmBookingForParcelsLessThan16OzOption</t>
  </si>
  <si>
    <t>guidedBookingOption</t>
  </si>
  <si>
    <t>Parcel</t>
  </si>
  <si>
    <t>ParcelsLessThan16Oz</t>
  </si>
  <si>
    <t>NA</t>
  </si>
  <si>
    <t>createAndConfirmBookingForPetsAndLiveOption</t>
  </si>
  <si>
    <t>PetsAndLive</t>
  </si>
  <si>
    <t>None</t>
  </si>
  <si>
    <t>Cat</t>
  </si>
  <si>
    <t>PetAgeAndUnit</t>
  </si>
  <si>
    <t>1;Years</t>
  </si>
  <si>
    <t>20;OZ</t>
  </si>
  <si>
    <t>createAndConfirmBookingForMedicalType</t>
  </si>
  <si>
    <t>Medical</t>
  </si>
  <si>
    <t>Pharma</t>
  </si>
  <si>
    <t>createAndConfirmBookingForPerishable</t>
  </si>
  <si>
    <t>Perishable</t>
  </si>
  <si>
    <t>createAndConfirmBookingForDoorToDoorOptionsUsingGuidedBooking</t>
  </si>
  <si>
    <t>DoorToDoor</t>
  </si>
  <si>
    <t>DOORTODOOR</t>
  </si>
  <si>
    <t>ToAddress</t>
  </si>
  <si>
    <t>Test1;Test2;Alpharetta;Georgia;30004</t>
  </si>
  <si>
    <t>ATL;SLC</t>
  </si>
  <si>
    <t>Pharma 1 - Active Container</t>
  </si>
  <si>
    <t>CSafe RAP</t>
  </si>
  <si>
    <t>ShipmentRequireDeltaContainer</t>
  </si>
  <si>
    <t>Fresh 1 - Active container</t>
  </si>
  <si>
    <t>Pharmaceuticals</t>
  </si>
  <si>
    <t>ContainerType</t>
  </si>
  <si>
    <t>Envirotainer RAP e2</t>
  </si>
  <si>
    <t>Specialty</t>
  </si>
  <si>
    <t>SPECIALITY</t>
  </si>
  <si>
    <t>Pharma 2 - Temperature controlled between +2°C to +8°C</t>
  </si>
  <si>
    <t>createAndConfirmBookingForPharma_ActiveContainer</t>
  </si>
  <si>
    <t>createAndConfirmBookingForPharma_Pharma2_TemperatureControlled</t>
  </si>
  <si>
    <t>ATL;MSP</t>
  </si>
  <si>
    <t>Container</t>
  </si>
  <si>
    <t>createAndConfirm_guidedBookingForPerishable_Fresh3</t>
  </si>
  <si>
    <t>Fresh 3 - Foodstuffs between +2°C to 25°C</t>
  </si>
  <si>
    <t>createAndConfirmAdvanceBookingForPerishables_Fresh3_UsingListDash</t>
  </si>
  <si>
    <t>SLC;MSP</t>
  </si>
  <si>
    <t>MSP;ATL</t>
  </si>
  <si>
    <t>AWB</t>
  </si>
  <si>
    <t>trackAndValidateExistingShipmentGuestUser</t>
  </si>
  <si>
    <t>90;LB</t>
  </si>
  <si>
    <t>createAndConfirmBookingForSpecialty_HumanRemains</t>
  </si>
  <si>
    <t>createAndConfirmBookingForSpecialty_ValuableItems</t>
  </si>
  <si>
    <t>manageAndValidateExistingShipmentFromSearchLoggedInUser</t>
  </si>
  <si>
    <t>manageRecipientAndValidateExistingShipmentFromAvailableListLoggedInUser</t>
  </si>
  <si>
    <t>manageRecipientAndValidateExistingShipmentFromSearchLoggedInUser</t>
  </si>
  <si>
    <t>createAndConfirmAdvanceBookingForPerishables_Fresh1</t>
  </si>
  <si>
    <t>createAndConfirmAdvanceBookingForPharma1_ActiveContainer</t>
  </si>
  <si>
    <t>createAndConfirmAdvanceBookingForPharma1_PassiveContainer</t>
  </si>
  <si>
    <t>createAndConfirmAdvanceBookingForPharma2_TemperatureControlledBetween2And8</t>
  </si>
  <si>
    <t>createAndConfirmAdvanceBookingForMedicalShipment_Medevac</t>
  </si>
  <si>
    <t>createAndConfirmAdvanceBookingForValuables_LessThan25000USD</t>
  </si>
  <si>
    <t>Valuables</t>
  </si>
  <si>
    <t>createAndConfirmAdvanceBookingFor_HumanRemains_Adult</t>
  </si>
  <si>
    <t>Human Remains</t>
  </si>
  <si>
    <t>createAndConfirmAdvanceBookingFor_LiveAnimals_Bird</t>
  </si>
  <si>
    <t>Live Animals</t>
  </si>
  <si>
    <t>createAndConfirmAdvanceBookingFor_LiveAnimals_WarmBloodedAnimal</t>
  </si>
  <si>
    <t>createAndConfirmAdvanceBookingUsingAdvancedTemplateBookingFor_ForPerishables_Fresh1</t>
  </si>
  <si>
    <t>createAndConfirmAdvanceBookingFor_GeneralCargo_UsingList_Standard</t>
  </si>
  <si>
    <t>checkInAndValidateCheckinShipmentFromAvailableListLoggedInUser</t>
  </si>
  <si>
    <t>checkInAndValidateCheckinShipmentFromSearchBoxLoggedInUser</t>
  </si>
  <si>
    <t>createAndConfirmAdvanceBookingUsingAdvancedTemplateBookingFor_LessThan25000USD</t>
  </si>
  <si>
    <t>createAndConfirmAdvanceBookingUsingAdvancedTemplateBookingFor_GeneralCargo</t>
  </si>
  <si>
    <t>createAndConfirmAdvanceBookingUsingAdvancedTemplateBookingFor_Pharma1_ActiveContainer</t>
  </si>
  <si>
    <t>manageAndValidate_ExistingShipment_FromAvailableList_LoggedInUser</t>
  </si>
  <si>
    <t>SearchFlightFlag</t>
  </si>
  <si>
    <t>AccountNumber</t>
  </si>
  <si>
    <t>trackAndValidate_ExistingShipmentFrom_AvailableList_LoggedInUser</t>
  </si>
  <si>
    <t>000547018</t>
  </si>
  <si>
    <t>trackAndValidate_ExistingShipment_LoggedInUser</t>
  </si>
  <si>
    <t>000075010</t>
  </si>
  <si>
    <t>66580780</t>
  </si>
  <si>
    <t>TestCasename</t>
  </si>
  <si>
    <t>TestScenarios</t>
  </si>
  <si>
    <t>Execution</t>
  </si>
  <si>
    <t>Yes</t>
  </si>
  <si>
    <t>ABGeneralCargo</t>
  </si>
  <si>
    <t>DSH</t>
  </si>
  <si>
    <t>ABPerishable</t>
  </si>
  <si>
    <t>Fresh 2 - Temperature controlled between +2°C to 8°C</t>
  </si>
  <si>
    <t>Fresh 3 - Flowers between +2°C to 25°C</t>
  </si>
  <si>
    <t>Fresh 3 - Seafood between +2°C to 25°C</t>
  </si>
  <si>
    <t>TestCases</t>
  </si>
  <si>
    <t>QA Member</t>
  </si>
  <si>
    <t>Vishal</t>
  </si>
  <si>
    <t>Sumit</t>
  </si>
  <si>
    <t>LoginUsername</t>
  </si>
  <si>
    <t>LoginPassword</t>
  </si>
  <si>
    <t>Delta2</t>
  </si>
  <si>
    <t>sumit.choudhary@delta.com</t>
  </si>
  <si>
    <t>Parameter</t>
  </si>
  <si>
    <t>Parameterkey</t>
  </si>
  <si>
    <t>ParameterValue</t>
  </si>
  <si>
    <t>username</t>
  </si>
  <si>
    <t>Password</t>
  </si>
  <si>
    <t>Browser</t>
  </si>
  <si>
    <t>Chrome</t>
  </si>
  <si>
    <t>QA</t>
  </si>
  <si>
    <t>Testcase</t>
  </si>
  <si>
    <t>url</t>
  </si>
  <si>
    <t>si.deltacargo.com</t>
  </si>
  <si>
    <t>SIEnvWebsite</t>
  </si>
  <si>
    <t>createAndConfirmAdvanceBookingForPerishables</t>
  </si>
  <si>
    <t>createAndConfirmAdvanceBookingForGeneralCargo</t>
  </si>
  <si>
    <t>ShipmentOrigin</t>
  </si>
  <si>
    <t>ShipmentDestination</t>
  </si>
  <si>
    <t>ATL</t>
  </si>
  <si>
    <t>JFK</t>
  </si>
  <si>
    <t>ShipmentWeightUnits</t>
  </si>
  <si>
    <t>LB</t>
  </si>
  <si>
    <t>ShipmentWeight</t>
  </si>
  <si>
    <t>ShipmentLength</t>
  </si>
  <si>
    <t>ShipmentWidth</t>
  </si>
  <si>
    <t>ShipmentHeight</t>
  </si>
  <si>
    <t>ShipmentQuantity</t>
  </si>
  <si>
    <t>ShipmentUnit</t>
  </si>
  <si>
    <t>IN</t>
  </si>
  <si>
    <t>Address1</t>
  </si>
  <si>
    <t>Address2</t>
  </si>
  <si>
    <t>City</t>
  </si>
  <si>
    <t>State</t>
  </si>
  <si>
    <t>Postal</t>
  </si>
  <si>
    <t>Test1</t>
  </si>
  <si>
    <t>Test2</t>
  </si>
  <si>
    <t>Atlanta</t>
  </si>
  <si>
    <t>Georgia</t>
  </si>
  <si>
    <t>TestCaseExecution</t>
  </si>
  <si>
    <t>DMD</t>
  </si>
  <si>
    <t>DTW</t>
  </si>
  <si>
    <t>MSP</t>
  </si>
  <si>
    <t>DHV</t>
  </si>
  <si>
    <t>createAndConfirmAdvanceBookingForPharma</t>
  </si>
  <si>
    <t>createAndConfirmAdvanceBookingForMedical</t>
  </si>
  <si>
    <t>createAndConfirmAdvanceBookingForValuables</t>
  </si>
  <si>
    <t>createAndConfirmAdvanceBookingForHumanRemains</t>
  </si>
  <si>
    <t>ABPharma</t>
  </si>
  <si>
    <t>ABMedical</t>
  </si>
  <si>
    <t>ABValuables</t>
  </si>
  <si>
    <t>ABHumanRemains</t>
  </si>
  <si>
    <t>Pharma 1 - Passive Container</t>
  </si>
  <si>
    <t>PHARMA</t>
  </si>
  <si>
    <t>Medical shipment – Medevac</t>
  </si>
  <si>
    <t>Medical shipment for transplant – Live Human Organ</t>
  </si>
  <si>
    <t>Life-saving drugs and medication or cord-blood</t>
  </si>
  <si>
    <t>Medical shipment for transplant – Other</t>
  </si>
  <si>
    <t>Medical shipment not for transplant - Diagnostic Specimen</t>
  </si>
  <si>
    <t>Medical shipment not for transplant - Other</t>
  </si>
  <si>
    <t>Value greater than 25,000 USD</t>
  </si>
  <si>
    <t>Value less than 25,000 USD</t>
  </si>
  <si>
    <t>SAFE</t>
  </si>
  <si>
    <t>Adult</t>
  </si>
  <si>
    <t>Child/Infant</t>
  </si>
  <si>
    <t>Cremated Remains</t>
  </si>
  <si>
    <t>DELTA CARES</t>
  </si>
  <si>
    <t>FRESH</t>
  </si>
  <si>
    <t>DASH</t>
  </si>
  <si>
    <t>STANDARD</t>
  </si>
  <si>
    <t>Pharma 3 - Temperature controlled between +2°C to +25°C</t>
  </si>
  <si>
    <t>Pharma 4 - Temperature controlled between +15°C to +25°C</t>
  </si>
  <si>
    <t>QA SPOC</t>
  </si>
  <si>
    <t>ShipmentDescription</t>
  </si>
  <si>
    <t>KG</t>
  </si>
  <si>
    <t>createAndConfirmAdvanceBookingForLiveAnimals</t>
  </si>
  <si>
    <t>createAndConfirmGuidedBookingForParcelLessThan16Oz</t>
  </si>
  <si>
    <t>GBParcel16Oz</t>
  </si>
  <si>
    <t>GBParcel</t>
  </si>
  <si>
    <t>GBPetLive</t>
  </si>
  <si>
    <t>GBPerishable</t>
  </si>
  <si>
    <t>GBPharma</t>
  </si>
  <si>
    <t>GBMedical</t>
  </si>
  <si>
    <t>Bhavani</t>
  </si>
  <si>
    <t>AccountType</t>
  </si>
  <si>
    <t>Domestic</t>
  </si>
  <si>
    <t>LiveAnimals</t>
  </si>
  <si>
    <t>ShipmentProduct</t>
  </si>
  <si>
    <t>TypeOfShipments</t>
  </si>
  <si>
    <t>International</t>
  </si>
  <si>
    <t>General</t>
  </si>
  <si>
    <t>Express</t>
  </si>
  <si>
    <t>Express Heavy</t>
  </si>
  <si>
    <t>Bird</t>
  </si>
  <si>
    <t>Day Old Chicks</t>
  </si>
  <si>
    <t>Lab Animals - e.g. Mice</t>
  </si>
  <si>
    <t>Other Warm Blooded Animal</t>
  </si>
  <si>
    <t>Reptile/Amphibian/etc.</t>
  </si>
  <si>
    <t>Tropical Fish</t>
  </si>
  <si>
    <t>Hatching Eggs</t>
  </si>
  <si>
    <t>LIVE</t>
  </si>
  <si>
    <t>TestCase Count</t>
  </si>
  <si>
    <t>Cold Blooded Animal</t>
  </si>
  <si>
    <t>Dog</t>
  </si>
  <si>
    <t>Warm Blooded Animal</t>
  </si>
  <si>
    <t>ABLiveAnimal</t>
  </si>
  <si>
    <t>GBHumanRemains</t>
  </si>
  <si>
    <t>ParcelQuantiy</t>
  </si>
  <si>
    <t>ORD</t>
  </si>
  <si>
    <t>SEA</t>
  </si>
  <si>
    <t>Parcels</t>
  </si>
  <si>
    <t>GENERAL</t>
  </si>
  <si>
    <t>EXPRESS</t>
  </si>
  <si>
    <t>CRITICAL</t>
  </si>
  <si>
    <t>Parcellessthan16OZ</t>
  </si>
  <si>
    <t>SPECIALIZED LIVE</t>
  </si>
  <si>
    <t>createAndConfirmGuidedBookingParcels_STANDARD_NA_Domestic</t>
  </si>
  <si>
    <t>createAndConfirmGuidedBookingParcels_DSH_NA_Domestic</t>
  </si>
  <si>
    <t>createAndConfirmGuidedBookingParcels_DMD_NA_Domestic</t>
  </si>
  <si>
    <t>createAndConfirmGuidedBookingParcels_GENERAL_NA_International</t>
  </si>
  <si>
    <t>createAndConfirmGuidedBookingParcellessthan16OZ_STANDARD_NA_Domestic</t>
  </si>
  <si>
    <t>createAndConfirmGuidedBookingParcellessthan16OZ_DSH_NA_Domestic</t>
  </si>
  <si>
    <t>createAndConfirmGuidedBookingParcellessthan16OZ_DMD_NA_Domestic</t>
  </si>
  <si>
    <t>createAndConfirmGuidedBookingParcellessthan16OZ_GENERAL_NA_International</t>
  </si>
  <si>
    <t>createAndConfirmGuidedBookingParcellessthan16OZ_EXPRESS_NA_International</t>
  </si>
  <si>
    <t>createAndConfirmGuidedBookingParcellessthan16OZ_CRITICAL_NA_International</t>
  </si>
  <si>
    <t>EXPRESS HEAVY</t>
  </si>
  <si>
    <t>CRITICAL HEAVY</t>
  </si>
  <si>
    <t>BOS</t>
  </si>
  <si>
    <t>SFO</t>
  </si>
  <si>
    <t>PDX</t>
  </si>
  <si>
    <t>LHR</t>
  </si>
  <si>
    <t>CM</t>
  </si>
  <si>
    <t>GBSpecialty</t>
  </si>
  <si>
    <t>Air Tray</t>
  </si>
  <si>
    <t>Casket</t>
  </si>
  <si>
    <t>Cremains</t>
  </si>
  <si>
    <t>Casket with Air Tray</t>
  </si>
  <si>
    <t>Combo</t>
  </si>
  <si>
    <t>Meters Cubed</t>
  </si>
  <si>
    <t>OZ</t>
  </si>
  <si>
    <t>Other</t>
  </si>
  <si>
    <t>Chocolate</t>
  </si>
  <si>
    <t>171276181</t>
  </si>
  <si>
    <t>createAndConfirmGuidedBookingParcels</t>
  </si>
  <si>
    <t>createAndConfirmGuidedBookingPetsAndLive</t>
  </si>
  <si>
    <t>createAndConfirmGuidedBookingPerishables</t>
  </si>
  <si>
    <t>createAndConfirmGuidedBookingPharma</t>
  </si>
  <si>
    <t>createAndConfirmGuidedBookingMedical</t>
  </si>
  <si>
    <t>createAndConfirmGuidedBookingValuables</t>
  </si>
  <si>
    <t>createAndConfirmGuidedBookingHumanRemains</t>
  </si>
  <si>
    <t>createAndConfirmGuidedBookingPharma_PHARMA_Pharma1ActiveContainer_Domestic</t>
  </si>
  <si>
    <t>createAndConfirmGuidedBookingPharma_PHARMA_Pharma1PassiveContainer_Domestic</t>
  </si>
  <si>
    <t>createAndConfirmGuidedBookingPharma_PHARMA_Pharma2Temperaturecontrolledbetween2Cto8C_Domestic</t>
  </si>
  <si>
    <t>createAndConfirmGuidedBookingPharma_PHARMA_Pharma3Temperaturecontrolledbetween2Cto25C_Domestic</t>
  </si>
  <si>
    <t>createAndConfirmGuidedBookingPharma_PHARMA_Pharma4Temperaturecontrolledbetween15Cto25C_Domestic</t>
  </si>
  <si>
    <t>createAndConfirmGuidedBookingPharma_PHARMA_Pharma1ActiveContainer_International</t>
  </si>
  <si>
    <t>createAndConfirmGuidedBookingPharma_PHARMA_Pharma1PassiveContainer_International</t>
  </si>
  <si>
    <t>createAndConfirmGuidedBookingPharma_PHARMA_Pharma2Temperaturecontrolledbetween2Cto8C_International</t>
  </si>
  <si>
    <t>createAndConfirmGuidedBookingPharma_PHARMA_Pharma3Temperaturecontrolledbetween2Cto25C_International</t>
  </si>
  <si>
    <t>createAndConfirmGuidedBookingPharma_PHARMA_Pharma4Temperaturecontrolledbetween15Cto25C_International</t>
  </si>
  <si>
    <t>createAndConfirmGuidedBookingMedical_DMD_MedicalshipmentMedevac_Domestic</t>
  </si>
  <si>
    <t>createAndConfirmGuidedBookingMedical_DMD_MedicalshipmentfortransplantLiveHumanOrgan_Domestic</t>
  </si>
  <si>
    <t>createAndConfirmGuidedBookingMedical_DMD_Lifesavingdrugsandmedicationorcordblood_Domestic</t>
  </si>
  <si>
    <t>createAndConfirmGuidedBookingMedical_DMD_MedicalshipmentfortransplantOther_Domestic</t>
  </si>
  <si>
    <t>createAndConfirmGuidedBookingMedical_DSH_MedicalshipmentnotfortransplantDiagnosticSpecimen_Domestic</t>
  </si>
  <si>
    <t>createAndConfirmGuidedBookingMedical_DHV_MedicalshipmentnotfortransplantOther_International</t>
  </si>
  <si>
    <t>createAndConfirmGuidedBookingMedical_CRITICAL_MedicalshipmentMedevac_International</t>
  </si>
  <si>
    <t>createAndConfirmGuidedBookingMedical_CRITICAL_HEAVY_MedicalshipmentfortransplantLiveHumanOrgan_International</t>
  </si>
  <si>
    <t>createAndConfirmGuidedBookingMedical_CRITICAL_HEAVY_Lifesavingdrugsandmedicationorcordblood_International</t>
  </si>
  <si>
    <t>createAndConfirmGuidedBookingMedical_CRITICAL_MedicalshipmentfortransplantOther_International</t>
  </si>
  <si>
    <t>createAndConfirmGuidedBookingMedical_EXPRESS_HEAVY_MedicalshipmentnotfortransplantDiagnosticSpecimen_International</t>
  </si>
  <si>
    <t>createAndConfirmGuidedBookingMedical_EXPRESS_MedicalshipmentnotfortransplantOther_International</t>
  </si>
  <si>
    <t>createAndConfirmGuidedBookingValuables_SAFE_Valuegreaterthan25000USD_Domestic</t>
  </si>
  <si>
    <t>createAndConfirmGuidedBookingValuables_SAFE_Valuelessthan25000USD_Domestic</t>
  </si>
  <si>
    <t>Test Pharma</t>
  </si>
  <si>
    <t>Test Parcels</t>
  </si>
  <si>
    <t>Test Parcel less</t>
  </si>
  <si>
    <t>Test Pet and Live</t>
  </si>
  <si>
    <t>Csafe RAP</t>
  </si>
  <si>
    <t>VA-Q-Case Half Euro</t>
  </si>
  <si>
    <t>Test Perishables</t>
  </si>
  <si>
    <t>Test Medical</t>
  </si>
  <si>
    <t>Test Valuables</t>
  </si>
  <si>
    <t>Test Cares</t>
  </si>
  <si>
    <t>BWI</t>
  </si>
  <si>
    <t>PetsandLive</t>
  </si>
  <si>
    <t>HumanRemains</t>
  </si>
  <si>
    <t>createAndConfirmGuidedBookingPetsandLive_LIVE_Bird_Domestic</t>
  </si>
  <si>
    <t>createAndConfirmGuidedBookingPetsandLive_LIVE_Cat_Domestic</t>
  </si>
  <si>
    <t>createAndConfirmGuidedBookingPetsandLive_LIVE_ColdBloodedAnimal_Domestic</t>
  </si>
  <si>
    <t>createAndConfirmGuidedBookingPetsandLive_LIVE_Dog_Domestic</t>
  </si>
  <si>
    <t>createAndConfirmGuidedBookingPetsandLive_LIVE_HatchingEggs_Domestic</t>
  </si>
  <si>
    <t>createAndConfirmGuidedBookingPetsandLive_LIVE_WarmBloodedAnimal_Domestic</t>
  </si>
  <si>
    <t>createAndConfirmGuidedBookingPetsandLive_SPECIALIZED_LIVE_Bird_International</t>
  </si>
  <si>
    <t>createAndConfirmGuidedBookingPetsandLive_SPECIALIZED_LIVE_Cat_International</t>
  </si>
  <si>
    <t>createAndConfirmGuidedBookingPetsandLive_SPECIALIZED_LIVE_ColdBloodedAnimal_International</t>
  </si>
  <si>
    <t>createAndConfirmGuidedBookingPetsandLive_SPECIALIZED_LIVE_Dog_International</t>
  </si>
  <si>
    <t>createAndConfirmGuidedBookingPetsandLive_SPECIALIZED_LIVE_HatchingEggs_International</t>
  </si>
  <si>
    <t>createAndConfirmGuidedBookingPetsandLive_SPECIALIZED_LIVE_WarmBloodedAnimal_International</t>
  </si>
  <si>
    <t>CDG</t>
  </si>
  <si>
    <t>createAndConfirmGuidedBookingPerishables_FRESH_Fresh1Activecontainer_Domestic</t>
  </si>
  <si>
    <t>createAndConfirmGuidedBookingPerishables_FRESH_Fresh2Temperaturecontrolledbetween2Cto8C_Domestic</t>
  </si>
  <si>
    <t>createAndConfirmGuidedBookingPerishables_DSH_Fresh3Flowersbetween2Cto25C_Domestic</t>
  </si>
  <si>
    <t>createAndConfirmGuidedBookingPerishables_DHV_Fresh3Foodstuffsbetween2Cto25C_Domestic</t>
  </si>
  <si>
    <t>createAndConfirmGuidedBookingPerishables_DMD_Fresh3Seafoodbetween2Cto25C_Domestic</t>
  </si>
  <si>
    <t>createAndConfirmGuidedBookingPerishables_FRESH_Fresh1Activecontainer_International</t>
  </si>
  <si>
    <t>createAndConfirmGuidedBookingPerishables_FRESH_Fresh2Temperaturecontrolledbetween2Cto8C_International</t>
  </si>
  <si>
    <t>createAndConfirmGuidedBookingPerishables_EXPRESS_Fresh3Flowersbetween2Cto25C_International</t>
  </si>
  <si>
    <t>createAndConfirmGuidedBookingPerishables_EXPRESS_HEAVY_Fresh3Foodstuffsbetween2Cto25C_International</t>
  </si>
  <si>
    <t>createAndConfirmGuidedBookingPerishables_CRITICAL_HEAVY_Fresh3Seafoodbetween2Cto25C_International</t>
  </si>
  <si>
    <t>createAndConfirmGuidedBookingParcels_EXPRESS_HEAVY_NA_International</t>
  </si>
  <si>
    <t>createAndConfirmGuidedBookingParcels_CRITICAL_HEAVY_NA_International</t>
  </si>
  <si>
    <t>createAndConfirmGuidedBookingValuables_SAFE_Valuegreaterthan25000USD_International</t>
  </si>
  <si>
    <t>createAndConfirmGuidedBookingValuables_SAFE_Valuelessthan25000USD_International</t>
  </si>
  <si>
    <t>CARE</t>
  </si>
  <si>
    <t>createAndConfirmGuidedBookingHumanRemains_CARE_Adult_Domestic</t>
  </si>
  <si>
    <t>createAndConfirmGuidedBookingHumanRemains_CARE_ChildInfant_Domestic</t>
  </si>
  <si>
    <t>createAndConfirmGuidedBookingHumanRemains_CARE_CrematedRemains_Domestic</t>
  </si>
  <si>
    <t>createAndConfirmGuidedBookingHumanRemains_CARE_Adult_International</t>
  </si>
  <si>
    <t>createAndConfirmGuidedBookingHumanRemains_CARE_ChildInfant_International</t>
  </si>
  <si>
    <t>createAndConfirmGuidedBookingHumanRemains_CARE_CrematedRemains_International</t>
  </si>
  <si>
    <t>createAndConfirmAdvanceBookingGeneral_Cargo_STANDARD_Loose_Domestic</t>
  </si>
  <si>
    <t>createAndConfirmAdvanceBookingGeneral_Cargo_DSH_Loose_Domestic</t>
  </si>
  <si>
    <t>createAndConfirmAdvanceBookingGeneral_Cargo_DMD_Loose_Domestic</t>
  </si>
  <si>
    <t>createAndConfirmAdvanceBookingGeneral_Cargo_STANDARD_Loose_International</t>
  </si>
  <si>
    <t>createAndConfirmAdvanceBookingGeneral_Cargo_DSH_Loose_International</t>
  </si>
  <si>
    <t>createAndConfirmAdvanceBookingGeneral_Cargo_DMD_Loose_International</t>
  </si>
  <si>
    <t>createAndConfirmAdvanceBookingPerishable_FRESH_Fresh1Activecontainer_Domestic</t>
  </si>
  <si>
    <t>createAndConfirmAdvanceBookingPerishable_FRESH_Fresh2Temperaturecontrolledbetween2Cto8C_Domestic</t>
  </si>
  <si>
    <t>createAndConfirmAdvanceBookingPerishable_DASH_Fresh3Flowersbetween2Cto25C_Domestic</t>
  </si>
  <si>
    <t>createAndConfirmAdvanceBookingPerishable_DHV_Fresh3Foodstuffsbetween2Cto25C_Domestic</t>
  </si>
  <si>
    <t>createAndConfirmAdvanceBookingPerishable_DMD_Fresh3Seafoodbetween2Cto25C_Domestic</t>
  </si>
  <si>
    <t>createAndConfirmAdvanceBookingPerishable_FRESH_Fresh1Activecontainer_International</t>
  </si>
  <si>
    <t>createAndConfirmAdvanceBookingPerishable_FRESH_Fresh2Temperaturecontrolledbetween2Cto8C_International</t>
  </si>
  <si>
    <t>createAndConfirmAdvanceBookingPerishable_DASH_Fresh3Flowersbetween2Cto25C_International</t>
  </si>
  <si>
    <t>createAndConfirmAdvanceBookingPerishable_DHV_Fresh3Foodstuffsbetween2Cto25C_International</t>
  </si>
  <si>
    <t>createAndConfirmAdvanceBookingPerishable_DMD_Fresh3Seafoodbetween2Cto25C_International</t>
  </si>
  <si>
    <t>createAndConfirmAdvanceBookingPharmaceuticals_PHARMA_Pharma1ActiveContainer_Domestic</t>
  </si>
  <si>
    <t>createAndConfirmAdvanceBookingPharmaceuticals_PHARMA_Pharma1PassiveContainer_Domestic</t>
  </si>
  <si>
    <t>createAndConfirmAdvanceBookingPharmaceuticals_PHARMA_Pharma2Temperaturecontrolledbetween2Cto8C_Domestic</t>
  </si>
  <si>
    <t>createAndConfirmAdvanceBookingPharmaceuticals_PHARMA_Pharma3Temperaturecontrolledbetween2Cto25C_Domestic</t>
  </si>
  <si>
    <t>createAndConfirmAdvanceBookingPharmaceuticals_PHARMA_Pharma4Temperaturecontrolledbetween15Cto25C_Domestic</t>
  </si>
  <si>
    <t>createAndConfirmAdvanceBookingPharmaceuticals_PHARMA_Pharma1ActiveContainer_International</t>
  </si>
  <si>
    <t>createAndConfirmAdvanceBookingPharmaceuticals_PHARMA_Pharma1PassiveContainer_International</t>
  </si>
  <si>
    <t>createAndConfirmAdvanceBookingPharmaceuticals_PHARMA_Pharma2Temperaturecontrolledbetween2Cto8C_International</t>
  </si>
  <si>
    <t>createAndConfirmAdvanceBookingPharmaceuticals_PHARMA_Pharma3Temperaturecontrolledbetween2Cto25C_International</t>
  </si>
  <si>
    <t>createAndConfirmAdvanceBookingPharmaceuticals_PHARMA_Pharma4Temperaturecontrolledbetween15Cto25C_International</t>
  </si>
  <si>
    <t>createAndConfirmAdvanceBookingMedical_DMD_MedicalshipmentMedevac_Domestic</t>
  </si>
  <si>
    <t>createAndConfirmAdvanceBookingMedical_DMD_MedicalshipmentfortransplantLiveHumanOrgan_Domestic</t>
  </si>
  <si>
    <t>createAndConfirmAdvanceBookingMedical_DMD_Lifesavingdrugsandmedicationorcordblood_Domestic</t>
  </si>
  <si>
    <t>createAndConfirmAdvanceBookingMedical_DMD_MedicalshipmentfortransplantOther_Domestic</t>
  </si>
  <si>
    <t>createAndConfirmAdvanceBookingMedical_DMD_MedicalshipmentnotfortransplantDiagnosticSpecimen_Domestic</t>
  </si>
  <si>
    <t>createAndConfirmAdvanceBookingMedical_DMD_MedicalshipmentnotfortransplantOther_Domestic</t>
  </si>
  <si>
    <t>createAndConfirmAdvanceBookingMedical_DMD_MedicalshipmentMedevac_International</t>
  </si>
  <si>
    <t>createAndConfirmAdvanceBookingMedical_DMD_MedicalshipmentfortransplantLiveHumanOrgan_International</t>
  </si>
  <si>
    <t>createAndConfirmAdvanceBookingMedical_DMD_Lifesavingdrugsandmedicationorcordblood_International</t>
  </si>
  <si>
    <t>createAndConfirmAdvanceBookingMedical_DMD_MedicalshipmentfortransplantOther_International</t>
  </si>
  <si>
    <t>createAndConfirmAdvanceBookingMedical_DMD_MedicalshipmentnotfortransplantDiagnosticSpecimen_International</t>
  </si>
  <si>
    <t>createAndConfirmAdvanceBookingMedical_DMD_MedicalshipmentnotfortransplantOther_International</t>
  </si>
  <si>
    <t>createAndConfirmAdvanceBookingValuables_SAFE_Valuegreaterthan25000USD_Domestic</t>
  </si>
  <si>
    <t>createAndConfirmAdvanceBookingValuables_SAFE_Valuelessthan25000USD_Domestic</t>
  </si>
  <si>
    <t>createAndConfirmAdvanceBookingValuables_SAFE_Valuegreaterthan25000USD_International</t>
  </si>
  <si>
    <t>createAndConfirmAdvanceBookingValuables_SAFE_Valuelessthan25000USD_International</t>
  </si>
  <si>
    <t>createAndConfirmAdvanceBookingHuman_Remains_DELTA_CARES_Adult_Domestic</t>
  </si>
  <si>
    <t>createAndConfirmAdvanceBookingHuman_Remains_DELTA_CARES_ChildInfant_Domestic</t>
  </si>
  <si>
    <t>createAndConfirmAdvanceBookingHuman_Remains_DELTA_CARES_CrematedRemains_Domestic</t>
  </si>
  <si>
    <t>createAndConfirmAdvanceBookingHuman_Remains_DELTA_CARES_Adult_International</t>
  </si>
  <si>
    <t>createAndConfirmAdvanceBookingHuman_Remains_DELTA_CARES_ChildInfant_International</t>
  </si>
  <si>
    <t>createAndConfirmAdvanceBookingHuman_Remains_DELTA_CARES_CrematedRemains_International</t>
  </si>
  <si>
    <t>createAndConfirmAdvanceBookingLiveAnimals_LIVE_Bird_Domestic</t>
  </si>
  <si>
    <t>createAndConfirmAdvanceBookingLiveAnimals_LIVE_DayOldChicks_Domestic</t>
  </si>
  <si>
    <t>createAndConfirmAdvanceBookingLiveAnimals_LIVE_LabAnimalse.g.Mice_Domestic</t>
  </si>
  <si>
    <t>createAndConfirmAdvanceBookingLiveAnimals_LIVE_OtherWarmBloodedAnimal_Domestic</t>
  </si>
  <si>
    <t>createAndConfirmAdvanceBookingLiveAnimals_LIVE_ReptileAmphibianetc._Domestic</t>
  </si>
  <si>
    <t>createAndConfirmAdvanceBookingLiveAnimals_LIVE_TropicalFish_Domestic</t>
  </si>
  <si>
    <t>createAndConfirmAdvanceBookingLiveAnimals_LIVE_HatchingEggs_Domestic</t>
  </si>
  <si>
    <t>createAndConfirmAdvanceBookingLiveAnimals_LIVE_Bird_International</t>
  </si>
  <si>
    <t>createAndConfirmAdvanceBookingLiveAnimals_LIVE_DayOldChicks_International</t>
  </si>
  <si>
    <t>createAndConfirmAdvanceBookingLiveAnimals_LIVE_LabAnimalse.g.Mice_International</t>
  </si>
  <si>
    <t>createAndConfirmAdvanceBookingLiveAnimals_LIVE_OtherWarmBloodedAnimal_International</t>
  </si>
  <si>
    <t>createAndConfirmAdvanceBookingLiveAnimals_LIVE_ReptileAmphibianetc._International</t>
  </si>
  <si>
    <t>createAndConfirmAdvanceBookingLiveAnimals_LIVE_TropicalFish_International</t>
  </si>
  <si>
    <t>createAndConfirmAdvanceBookingLiveAnimals_LIVE_HatchingEggs_International</t>
  </si>
  <si>
    <t>Test General Cargo</t>
  </si>
  <si>
    <t>Test Human Remains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</si>
</sst>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9.8000000000000007"/>
      <color theme="1"/>
      <name val="JetBrains Mono"/>
      <family val="3"/>
    </font>
    <font>
      <sz val="9.8000000000000007"/>
      <name val="JetBrains Mono"/>
      <family val="3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Helvetica Neue"/>
      <family val="2"/>
    </font>
    <font>
      <sz val="12"/>
      <color theme="1"/>
      <name val="Calibri"/>
      <family val="2"/>
      <scheme val="minor"/>
    </font>
    <font>
      <sz val="12"/>
      <color theme="1"/>
      <name val="JetBrains Mono"/>
      <family val="3"/>
    </font>
  </fonts>
  <fills count="2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66FFCC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6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0" fillId="2" borderId="1" xfId="0" applyFill="1" applyBorder="1"/>
    <xf numFmtId="0" fontId="0" fillId="0" borderId="1" xfId="0" applyBorder="1"/>
    <xf numFmtId="0" fontId="0" fillId="2" borderId="2" xfId="0" applyFill="1" applyBorder="1" applyAlignment="1">
      <alignment horizontal="left" vertical="top"/>
    </xf>
    <xf numFmtId="0" fontId="1" fillId="4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3" borderId="1" xfId="0" quotePrefix="1" applyFill="1" applyBorder="1" applyAlignment="1">
      <alignment horizontal="left" vertical="top"/>
    </xf>
    <xf numFmtId="0" fontId="1" fillId="4" borderId="1" xfId="0" quotePrefix="1" applyFont="1" applyFill="1" applyBorder="1" applyAlignment="1">
      <alignment vertical="center"/>
    </xf>
    <xf numFmtId="0" fontId="1" fillId="4" borderId="2" xfId="0" quotePrefix="1" applyFont="1" applyFill="1" applyBorder="1" applyAlignment="1">
      <alignment vertical="center"/>
    </xf>
    <xf numFmtId="0" fontId="3" fillId="5" borderId="1" xfId="1" applyFill="1" applyBorder="1" applyAlignment="1">
      <alignment vertical="center"/>
    </xf>
    <xf numFmtId="0" fontId="3" fillId="9" borderId="1" xfId="1" applyFill="1" applyBorder="1" applyAlignment="1">
      <alignment horizontal="left" vertical="top"/>
    </xf>
    <xf numFmtId="0" fontId="0" fillId="9" borderId="1" xfId="0" applyFill="1" applyBorder="1" applyAlignment="1">
      <alignment horizontal="left" vertical="top"/>
    </xf>
    <xf numFmtId="0" fontId="0" fillId="9" borderId="1" xfId="0" applyFill="1" applyBorder="1"/>
    <xf numFmtId="0" fontId="0" fillId="2" borderId="3" xfId="0" applyFill="1" applyBorder="1" applyAlignment="1">
      <alignment horizontal="left" vertical="top"/>
    </xf>
    <xf numFmtId="0" fontId="3" fillId="0" borderId="1" xfId="1" applyBorder="1"/>
    <xf numFmtId="0" fontId="3" fillId="0" borderId="1" xfId="1" applyFill="1" applyBorder="1" applyAlignment="1">
      <alignment vertical="center"/>
    </xf>
    <xf numFmtId="0" fontId="0" fillId="9" borderId="1" xfId="0" applyFill="1" applyBorder="1" applyAlignment="1">
      <alignment horizontal="center" vertical="top"/>
    </xf>
    <xf numFmtId="0" fontId="5" fillId="10" borderId="1" xfId="0" applyFont="1" applyFill="1" applyBorder="1" applyAlignment="1">
      <alignment horizontal="left" vertical="top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/>
    <xf numFmtId="0" fontId="9" fillId="4" borderId="1" xfId="0" applyFont="1" applyFill="1" applyBorder="1" applyAlignment="1">
      <alignment vertical="center"/>
    </xf>
    <xf numFmtId="0" fontId="3" fillId="9" borderId="1" xfId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center" vertical="center"/>
    </xf>
    <xf numFmtId="49" fontId="9" fillId="4" borderId="1" xfId="0" quotePrefix="1" applyNumberFormat="1" applyFont="1" applyFill="1" applyBorder="1" applyAlignment="1">
      <alignment horizontal="center" vertical="center"/>
    </xf>
    <xf numFmtId="0" fontId="3" fillId="5" borderId="1" xfId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4" borderId="1" xfId="0" applyFill="1" applyBorder="1" applyAlignment="1">
      <alignment horizontal="left" vertical="top"/>
    </xf>
    <xf numFmtId="49" fontId="0" fillId="4" borderId="1" xfId="0" quotePrefix="1" applyNumberFormat="1" applyFill="1" applyBorder="1" applyAlignment="1">
      <alignment horizontal="left" vertical="top"/>
    </xf>
    <xf numFmtId="0" fontId="3" fillId="4" borderId="1" xfId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49" fontId="0" fillId="0" borderId="1" xfId="0" quotePrefix="1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0" fontId="0" fillId="13" borderId="1" xfId="0" quotePrefix="1" applyFill="1" applyBorder="1" applyAlignment="1">
      <alignment horizontal="left" vertical="top"/>
    </xf>
    <xf numFmtId="0" fontId="0" fillId="12" borderId="1" xfId="0" applyFill="1" applyBorder="1" applyAlignment="1">
      <alignment horizontal="left" vertical="top"/>
    </xf>
    <xf numFmtId="0" fontId="0" fillId="12" borderId="1" xfId="0" quotePrefix="1" applyFill="1" applyBorder="1" applyAlignment="1">
      <alignment horizontal="left" vertical="top"/>
    </xf>
    <xf numFmtId="0" fontId="0" fillId="2" borderId="1" xfId="0" quotePrefix="1" applyFill="1" applyBorder="1" applyAlignment="1">
      <alignment horizontal="left" vertical="top"/>
    </xf>
    <xf numFmtId="0" fontId="0" fillId="11" borderId="1" xfId="0" applyFill="1" applyBorder="1" applyAlignment="1">
      <alignment horizontal="left" vertical="top"/>
    </xf>
    <xf numFmtId="0" fontId="0" fillId="11" borderId="1" xfId="0" quotePrefix="1" applyFill="1" applyBorder="1" applyAlignment="1">
      <alignment horizontal="left" vertical="top"/>
    </xf>
    <xf numFmtId="0" fontId="0" fillId="15" borderId="1" xfId="0" applyFill="1" applyBorder="1" applyAlignment="1">
      <alignment horizontal="left" vertical="top"/>
    </xf>
    <xf numFmtId="0" fontId="0" fillId="15" borderId="1" xfId="0" quotePrefix="1" applyFill="1" applyBorder="1" applyAlignment="1">
      <alignment horizontal="left" vertical="top"/>
    </xf>
    <xf numFmtId="0" fontId="0" fillId="16" borderId="1" xfId="0" applyFill="1" applyBorder="1" applyAlignment="1">
      <alignment horizontal="left" vertical="top"/>
    </xf>
    <xf numFmtId="0" fontId="0" fillId="16" borderId="1" xfId="0" quotePrefix="1" applyFill="1" applyBorder="1" applyAlignment="1">
      <alignment horizontal="left" vertical="top"/>
    </xf>
    <xf numFmtId="0" fontId="0" fillId="14" borderId="1" xfId="0" applyFill="1" applyBorder="1" applyAlignment="1">
      <alignment horizontal="left" vertical="top"/>
    </xf>
    <xf numFmtId="0" fontId="0" fillId="14" borderId="1" xfId="0" quotePrefix="1" applyFill="1" applyBorder="1" applyAlignment="1">
      <alignment horizontal="left" vertical="top"/>
    </xf>
    <xf numFmtId="0" fontId="5" fillId="17" borderId="6" xfId="0" applyFont="1" applyFill="1" applyBorder="1"/>
    <xf numFmtId="0" fontId="5" fillId="18" borderId="6" xfId="0" applyFont="1" applyFill="1" applyBorder="1"/>
    <xf numFmtId="0" fontId="5" fillId="19" borderId="6" xfId="0" applyFont="1" applyFill="1" applyBorder="1"/>
    <xf numFmtId="0" fontId="5" fillId="20" borderId="6" xfId="0" applyFont="1" applyFill="1" applyBorder="1"/>
    <xf numFmtId="0" fontId="5" fillId="21" borderId="6" xfId="0" applyFont="1" applyFill="1" applyBorder="1"/>
    <xf numFmtId="0" fontId="5" fillId="22" borderId="7" xfId="0" applyFont="1" applyFill="1" applyBorder="1" applyAlignment="1">
      <alignment vertical="center"/>
    </xf>
    <xf numFmtId="0" fontId="5" fillId="22" borderId="8" xfId="0" applyFont="1" applyFill="1" applyBorder="1" applyAlignment="1">
      <alignment vertical="center"/>
    </xf>
    <xf numFmtId="0" fontId="5" fillId="23" borderId="7" xfId="0" applyFont="1" applyFill="1" applyBorder="1" applyAlignment="1">
      <alignment vertical="center"/>
    </xf>
    <xf numFmtId="0" fontId="5" fillId="23" borderId="8" xfId="0" applyFont="1" applyFill="1" applyBorder="1" applyAlignment="1">
      <alignment vertical="center"/>
    </xf>
    <xf numFmtId="0" fontId="0" fillId="6" borderId="1" xfId="0" applyFill="1" applyBorder="1" applyAlignment="1">
      <alignment horizontal="left" vertical="top"/>
    </xf>
    <xf numFmtId="0" fontId="0" fillId="6" borderId="1" xfId="0" quotePrefix="1" applyFill="1" applyBorder="1" applyAlignment="1">
      <alignment horizontal="left" vertical="top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mit.choudhary@delta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sumit.choudhary@delta.com" TargetMode="External"/><Relationship Id="rId117" Type="http://schemas.openxmlformats.org/officeDocument/2006/relationships/hyperlink" Target="mailto:sumit.choudhary@delta.com" TargetMode="External"/><Relationship Id="rId21" Type="http://schemas.openxmlformats.org/officeDocument/2006/relationships/hyperlink" Target="mailto:sumit.choudhary@delta.com" TargetMode="External"/><Relationship Id="rId42" Type="http://schemas.openxmlformats.org/officeDocument/2006/relationships/hyperlink" Target="mailto:sumit.choudhary@delta.com" TargetMode="External"/><Relationship Id="rId47" Type="http://schemas.openxmlformats.org/officeDocument/2006/relationships/hyperlink" Target="mailto:sumit.choudhary@delta.com" TargetMode="External"/><Relationship Id="rId63" Type="http://schemas.openxmlformats.org/officeDocument/2006/relationships/hyperlink" Target="mailto:sumit.choudhary@delta.com" TargetMode="External"/><Relationship Id="rId68" Type="http://schemas.openxmlformats.org/officeDocument/2006/relationships/hyperlink" Target="mailto:sumit.choudhary@delta.com" TargetMode="External"/><Relationship Id="rId84" Type="http://schemas.openxmlformats.org/officeDocument/2006/relationships/hyperlink" Target="mailto:sumit.choudhary@delta.com" TargetMode="External"/><Relationship Id="rId89" Type="http://schemas.openxmlformats.org/officeDocument/2006/relationships/hyperlink" Target="mailto:sumit.choudhary@delta.com" TargetMode="External"/><Relationship Id="rId112" Type="http://schemas.openxmlformats.org/officeDocument/2006/relationships/hyperlink" Target="mailto:sumit.choudhary@delta.com" TargetMode="External"/><Relationship Id="rId16" Type="http://schemas.openxmlformats.org/officeDocument/2006/relationships/hyperlink" Target="mailto:sumit.choudhary@delta.com" TargetMode="External"/><Relationship Id="rId107" Type="http://schemas.openxmlformats.org/officeDocument/2006/relationships/hyperlink" Target="mailto:sumit.choudhary@delta.com" TargetMode="External"/><Relationship Id="rId11" Type="http://schemas.openxmlformats.org/officeDocument/2006/relationships/hyperlink" Target="mailto:sumit.choudhary@delta.com" TargetMode="External"/><Relationship Id="rId32" Type="http://schemas.openxmlformats.org/officeDocument/2006/relationships/hyperlink" Target="mailto:sumit.choudhary@delta.com" TargetMode="External"/><Relationship Id="rId37" Type="http://schemas.openxmlformats.org/officeDocument/2006/relationships/hyperlink" Target="mailto:sumit.choudhary@delta.com" TargetMode="External"/><Relationship Id="rId53" Type="http://schemas.openxmlformats.org/officeDocument/2006/relationships/hyperlink" Target="mailto:sumit.choudhary@delta.com" TargetMode="External"/><Relationship Id="rId58" Type="http://schemas.openxmlformats.org/officeDocument/2006/relationships/hyperlink" Target="mailto:sumit.choudhary@delta.com" TargetMode="External"/><Relationship Id="rId74" Type="http://schemas.openxmlformats.org/officeDocument/2006/relationships/hyperlink" Target="mailto:sumit.choudhary@delta.com" TargetMode="External"/><Relationship Id="rId79" Type="http://schemas.openxmlformats.org/officeDocument/2006/relationships/hyperlink" Target="mailto:sumit.choudhary@delta.com" TargetMode="External"/><Relationship Id="rId102" Type="http://schemas.openxmlformats.org/officeDocument/2006/relationships/hyperlink" Target="mailto:sumit.choudhary@delta.com" TargetMode="External"/><Relationship Id="rId123" Type="http://schemas.openxmlformats.org/officeDocument/2006/relationships/hyperlink" Target="mailto:sumit.choudhary@delta.com" TargetMode="External"/><Relationship Id="rId128" Type="http://schemas.openxmlformats.org/officeDocument/2006/relationships/hyperlink" Target="mailto:sumit.choudhary@delta.com" TargetMode="External"/><Relationship Id="rId5" Type="http://schemas.openxmlformats.org/officeDocument/2006/relationships/hyperlink" Target="mailto:sumit.choudhary@delta.com" TargetMode="External"/><Relationship Id="rId90" Type="http://schemas.openxmlformats.org/officeDocument/2006/relationships/hyperlink" Target="mailto:sumit.choudhary@delta.com" TargetMode="External"/><Relationship Id="rId95" Type="http://schemas.openxmlformats.org/officeDocument/2006/relationships/hyperlink" Target="mailto:sumit.choudhary@delta.com" TargetMode="External"/><Relationship Id="rId19" Type="http://schemas.openxmlformats.org/officeDocument/2006/relationships/hyperlink" Target="mailto:sumit.choudhary@delta.com" TargetMode="External"/><Relationship Id="rId14" Type="http://schemas.openxmlformats.org/officeDocument/2006/relationships/hyperlink" Target="mailto:sumit.choudhary@delta.com" TargetMode="External"/><Relationship Id="rId22" Type="http://schemas.openxmlformats.org/officeDocument/2006/relationships/hyperlink" Target="mailto:sumit.choudhary@delta.com" TargetMode="External"/><Relationship Id="rId27" Type="http://schemas.openxmlformats.org/officeDocument/2006/relationships/hyperlink" Target="mailto:sumit.choudhary@delta.com" TargetMode="External"/><Relationship Id="rId30" Type="http://schemas.openxmlformats.org/officeDocument/2006/relationships/hyperlink" Target="mailto:sumit.choudhary@delta.com" TargetMode="External"/><Relationship Id="rId35" Type="http://schemas.openxmlformats.org/officeDocument/2006/relationships/hyperlink" Target="mailto:sumit.choudhary@delta.com" TargetMode="External"/><Relationship Id="rId43" Type="http://schemas.openxmlformats.org/officeDocument/2006/relationships/hyperlink" Target="mailto:sumit.choudhary@delta.com" TargetMode="External"/><Relationship Id="rId48" Type="http://schemas.openxmlformats.org/officeDocument/2006/relationships/hyperlink" Target="mailto:sumit.choudhary@delta.com" TargetMode="External"/><Relationship Id="rId56" Type="http://schemas.openxmlformats.org/officeDocument/2006/relationships/hyperlink" Target="mailto:sumit.choudhary@delta.com" TargetMode="External"/><Relationship Id="rId64" Type="http://schemas.openxmlformats.org/officeDocument/2006/relationships/hyperlink" Target="mailto:sumit.choudhary@delta.com" TargetMode="External"/><Relationship Id="rId69" Type="http://schemas.openxmlformats.org/officeDocument/2006/relationships/hyperlink" Target="mailto:sumit.choudhary@delta.com" TargetMode="External"/><Relationship Id="rId77" Type="http://schemas.openxmlformats.org/officeDocument/2006/relationships/hyperlink" Target="mailto:sumit.choudhary@delta.com" TargetMode="External"/><Relationship Id="rId100" Type="http://schemas.openxmlformats.org/officeDocument/2006/relationships/hyperlink" Target="mailto:sumit.choudhary@delta.com" TargetMode="External"/><Relationship Id="rId105" Type="http://schemas.openxmlformats.org/officeDocument/2006/relationships/hyperlink" Target="mailto:sumit.choudhary@delta.com" TargetMode="External"/><Relationship Id="rId113" Type="http://schemas.openxmlformats.org/officeDocument/2006/relationships/hyperlink" Target="mailto:sumit.choudhary@delta.com" TargetMode="External"/><Relationship Id="rId118" Type="http://schemas.openxmlformats.org/officeDocument/2006/relationships/hyperlink" Target="mailto:sumit.choudhary@delta.com" TargetMode="External"/><Relationship Id="rId126" Type="http://schemas.openxmlformats.org/officeDocument/2006/relationships/hyperlink" Target="mailto:sumit.choudhary@delta.com" TargetMode="External"/><Relationship Id="rId8" Type="http://schemas.openxmlformats.org/officeDocument/2006/relationships/hyperlink" Target="mailto:sumit.choudhary@delta.com" TargetMode="External"/><Relationship Id="rId51" Type="http://schemas.openxmlformats.org/officeDocument/2006/relationships/hyperlink" Target="mailto:sumit.choudhary@delta.com" TargetMode="External"/><Relationship Id="rId72" Type="http://schemas.openxmlformats.org/officeDocument/2006/relationships/hyperlink" Target="mailto:sumit.choudhary@delta.com" TargetMode="External"/><Relationship Id="rId80" Type="http://schemas.openxmlformats.org/officeDocument/2006/relationships/hyperlink" Target="mailto:sumit.choudhary@delta.com" TargetMode="External"/><Relationship Id="rId85" Type="http://schemas.openxmlformats.org/officeDocument/2006/relationships/hyperlink" Target="mailto:sumit.choudhary@delta.com" TargetMode="External"/><Relationship Id="rId93" Type="http://schemas.openxmlformats.org/officeDocument/2006/relationships/hyperlink" Target="mailto:sumit.choudhary@delta.com" TargetMode="External"/><Relationship Id="rId98" Type="http://schemas.openxmlformats.org/officeDocument/2006/relationships/hyperlink" Target="mailto:sumit.choudhary@delta.com" TargetMode="External"/><Relationship Id="rId121" Type="http://schemas.openxmlformats.org/officeDocument/2006/relationships/hyperlink" Target="mailto:sumit.choudhary@delta.com" TargetMode="External"/><Relationship Id="rId3" Type="http://schemas.openxmlformats.org/officeDocument/2006/relationships/hyperlink" Target="mailto:sumit.choudhary@delta.com" TargetMode="External"/><Relationship Id="rId12" Type="http://schemas.openxmlformats.org/officeDocument/2006/relationships/hyperlink" Target="mailto:sumit.choudhary@delta.com" TargetMode="External"/><Relationship Id="rId17" Type="http://schemas.openxmlformats.org/officeDocument/2006/relationships/hyperlink" Target="mailto:sumit.choudhary@delta.com" TargetMode="External"/><Relationship Id="rId25" Type="http://schemas.openxmlformats.org/officeDocument/2006/relationships/hyperlink" Target="mailto:sumit.choudhary@delta.com" TargetMode="External"/><Relationship Id="rId33" Type="http://schemas.openxmlformats.org/officeDocument/2006/relationships/hyperlink" Target="mailto:sumit.choudhary@delta.com" TargetMode="External"/><Relationship Id="rId38" Type="http://schemas.openxmlformats.org/officeDocument/2006/relationships/hyperlink" Target="mailto:sumit.choudhary@delta.com" TargetMode="External"/><Relationship Id="rId46" Type="http://schemas.openxmlformats.org/officeDocument/2006/relationships/hyperlink" Target="mailto:sumit.choudhary@delta.com" TargetMode="External"/><Relationship Id="rId59" Type="http://schemas.openxmlformats.org/officeDocument/2006/relationships/hyperlink" Target="mailto:sumit.choudhary@delta.com" TargetMode="External"/><Relationship Id="rId67" Type="http://schemas.openxmlformats.org/officeDocument/2006/relationships/hyperlink" Target="mailto:sumit.choudhary@delta.com" TargetMode="External"/><Relationship Id="rId103" Type="http://schemas.openxmlformats.org/officeDocument/2006/relationships/hyperlink" Target="mailto:sumit.choudhary@delta.com" TargetMode="External"/><Relationship Id="rId108" Type="http://schemas.openxmlformats.org/officeDocument/2006/relationships/hyperlink" Target="mailto:sumit.choudhary@delta.com" TargetMode="External"/><Relationship Id="rId116" Type="http://schemas.openxmlformats.org/officeDocument/2006/relationships/hyperlink" Target="mailto:sumit.choudhary@delta.com" TargetMode="External"/><Relationship Id="rId124" Type="http://schemas.openxmlformats.org/officeDocument/2006/relationships/hyperlink" Target="mailto:sumit.choudhary@delta.com" TargetMode="External"/><Relationship Id="rId129" Type="http://schemas.openxmlformats.org/officeDocument/2006/relationships/printerSettings" Target="../printerSettings/printerSettings2.bin"/><Relationship Id="rId20" Type="http://schemas.openxmlformats.org/officeDocument/2006/relationships/hyperlink" Target="mailto:sumit.choudhary@delta.com" TargetMode="External"/><Relationship Id="rId41" Type="http://schemas.openxmlformats.org/officeDocument/2006/relationships/hyperlink" Target="mailto:sumit.choudhary@delta.com" TargetMode="External"/><Relationship Id="rId54" Type="http://schemas.openxmlformats.org/officeDocument/2006/relationships/hyperlink" Target="mailto:sumit.choudhary@delta.com" TargetMode="External"/><Relationship Id="rId62" Type="http://schemas.openxmlformats.org/officeDocument/2006/relationships/hyperlink" Target="mailto:sumit.choudhary@delta.com" TargetMode="External"/><Relationship Id="rId70" Type="http://schemas.openxmlformats.org/officeDocument/2006/relationships/hyperlink" Target="mailto:sumit.choudhary@delta.com" TargetMode="External"/><Relationship Id="rId75" Type="http://schemas.openxmlformats.org/officeDocument/2006/relationships/hyperlink" Target="mailto:sumit.choudhary@delta.com" TargetMode="External"/><Relationship Id="rId83" Type="http://schemas.openxmlformats.org/officeDocument/2006/relationships/hyperlink" Target="mailto:sumit.choudhary@delta.com" TargetMode="External"/><Relationship Id="rId88" Type="http://schemas.openxmlformats.org/officeDocument/2006/relationships/hyperlink" Target="mailto:sumit.choudhary@delta.com" TargetMode="External"/><Relationship Id="rId91" Type="http://schemas.openxmlformats.org/officeDocument/2006/relationships/hyperlink" Target="mailto:sumit.choudhary@delta.com" TargetMode="External"/><Relationship Id="rId96" Type="http://schemas.openxmlformats.org/officeDocument/2006/relationships/hyperlink" Target="mailto:sumit.choudhary@delta.com" TargetMode="External"/><Relationship Id="rId111" Type="http://schemas.openxmlformats.org/officeDocument/2006/relationships/hyperlink" Target="mailto:sumit.choudhary@delta.com" TargetMode="External"/><Relationship Id="rId1" Type="http://schemas.openxmlformats.org/officeDocument/2006/relationships/hyperlink" Target="mailto:sumit.choudhary@delta.com" TargetMode="External"/><Relationship Id="rId6" Type="http://schemas.openxmlformats.org/officeDocument/2006/relationships/hyperlink" Target="mailto:sumit.choudhary@delta.com" TargetMode="External"/><Relationship Id="rId15" Type="http://schemas.openxmlformats.org/officeDocument/2006/relationships/hyperlink" Target="mailto:sumit.choudhary@delta.com" TargetMode="External"/><Relationship Id="rId23" Type="http://schemas.openxmlformats.org/officeDocument/2006/relationships/hyperlink" Target="mailto:sumit.choudhary@delta.com" TargetMode="External"/><Relationship Id="rId28" Type="http://schemas.openxmlformats.org/officeDocument/2006/relationships/hyperlink" Target="mailto:sumit.choudhary@delta.com" TargetMode="External"/><Relationship Id="rId36" Type="http://schemas.openxmlformats.org/officeDocument/2006/relationships/hyperlink" Target="mailto:sumit.choudhary@delta.com" TargetMode="External"/><Relationship Id="rId49" Type="http://schemas.openxmlformats.org/officeDocument/2006/relationships/hyperlink" Target="mailto:sumit.choudhary@delta.com" TargetMode="External"/><Relationship Id="rId57" Type="http://schemas.openxmlformats.org/officeDocument/2006/relationships/hyperlink" Target="mailto:sumit.choudhary@delta.com" TargetMode="External"/><Relationship Id="rId106" Type="http://schemas.openxmlformats.org/officeDocument/2006/relationships/hyperlink" Target="mailto:sumit.choudhary@delta.com" TargetMode="External"/><Relationship Id="rId114" Type="http://schemas.openxmlformats.org/officeDocument/2006/relationships/hyperlink" Target="mailto:sumit.choudhary@delta.com" TargetMode="External"/><Relationship Id="rId119" Type="http://schemas.openxmlformats.org/officeDocument/2006/relationships/hyperlink" Target="mailto:sumit.choudhary@delta.com" TargetMode="External"/><Relationship Id="rId127" Type="http://schemas.openxmlformats.org/officeDocument/2006/relationships/hyperlink" Target="mailto:sumit.choudhary@delta.com" TargetMode="External"/><Relationship Id="rId10" Type="http://schemas.openxmlformats.org/officeDocument/2006/relationships/hyperlink" Target="mailto:sumit.choudhary@delta.com" TargetMode="External"/><Relationship Id="rId31" Type="http://schemas.openxmlformats.org/officeDocument/2006/relationships/hyperlink" Target="mailto:sumit.choudhary@delta.com" TargetMode="External"/><Relationship Id="rId44" Type="http://schemas.openxmlformats.org/officeDocument/2006/relationships/hyperlink" Target="mailto:sumit.choudhary@delta.com" TargetMode="External"/><Relationship Id="rId52" Type="http://schemas.openxmlformats.org/officeDocument/2006/relationships/hyperlink" Target="mailto:sumit.choudhary@delta.com" TargetMode="External"/><Relationship Id="rId60" Type="http://schemas.openxmlformats.org/officeDocument/2006/relationships/hyperlink" Target="mailto:sumit.choudhary@delta.com" TargetMode="External"/><Relationship Id="rId65" Type="http://schemas.openxmlformats.org/officeDocument/2006/relationships/hyperlink" Target="mailto:sumit.choudhary@delta.com" TargetMode="External"/><Relationship Id="rId73" Type="http://schemas.openxmlformats.org/officeDocument/2006/relationships/hyperlink" Target="mailto:sumit.choudhary@delta.com" TargetMode="External"/><Relationship Id="rId78" Type="http://schemas.openxmlformats.org/officeDocument/2006/relationships/hyperlink" Target="mailto:sumit.choudhary@delta.com" TargetMode="External"/><Relationship Id="rId81" Type="http://schemas.openxmlformats.org/officeDocument/2006/relationships/hyperlink" Target="mailto:sumit.choudhary@delta.com" TargetMode="External"/><Relationship Id="rId86" Type="http://schemas.openxmlformats.org/officeDocument/2006/relationships/hyperlink" Target="mailto:sumit.choudhary@delta.com" TargetMode="External"/><Relationship Id="rId94" Type="http://schemas.openxmlformats.org/officeDocument/2006/relationships/hyperlink" Target="mailto:sumit.choudhary@delta.com" TargetMode="External"/><Relationship Id="rId99" Type="http://schemas.openxmlformats.org/officeDocument/2006/relationships/hyperlink" Target="mailto:sumit.choudhary@delta.com" TargetMode="External"/><Relationship Id="rId101" Type="http://schemas.openxmlformats.org/officeDocument/2006/relationships/hyperlink" Target="mailto:sumit.choudhary@delta.com" TargetMode="External"/><Relationship Id="rId122" Type="http://schemas.openxmlformats.org/officeDocument/2006/relationships/hyperlink" Target="mailto:sumit.choudhary@delta.com" TargetMode="External"/><Relationship Id="rId4" Type="http://schemas.openxmlformats.org/officeDocument/2006/relationships/hyperlink" Target="mailto:sumit.choudhary@delta.com" TargetMode="External"/><Relationship Id="rId9" Type="http://schemas.openxmlformats.org/officeDocument/2006/relationships/hyperlink" Target="mailto:sumit.choudhary@delta.com" TargetMode="External"/><Relationship Id="rId13" Type="http://schemas.openxmlformats.org/officeDocument/2006/relationships/hyperlink" Target="mailto:sumit.choudhary@delta.com" TargetMode="External"/><Relationship Id="rId18" Type="http://schemas.openxmlformats.org/officeDocument/2006/relationships/hyperlink" Target="mailto:sumit.choudhary@delta.com" TargetMode="External"/><Relationship Id="rId39" Type="http://schemas.openxmlformats.org/officeDocument/2006/relationships/hyperlink" Target="mailto:sumit.choudhary@delta.com" TargetMode="External"/><Relationship Id="rId109" Type="http://schemas.openxmlformats.org/officeDocument/2006/relationships/hyperlink" Target="mailto:sumit.choudhary@delta.com" TargetMode="External"/><Relationship Id="rId34" Type="http://schemas.openxmlformats.org/officeDocument/2006/relationships/hyperlink" Target="mailto:sumit.choudhary@delta.com" TargetMode="External"/><Relationship Id="rId50" Type="http://schemas.openxmlformats.org/officeDocument/2006/relationships/hyperlink" Target="mailto:sumit.choudhary@delta.com" TargetMode="External"/><Relationship Id="rId55" Type="http://schemas.openxmlformats.org/officeDocument/2006/relationships/hyperlink" Target="mailto:sumit.choudhary@delta.com" TargetMode="External"/><Relationship Id="rId76" Type="http://schemas.openxmlformats.org/officeDocument/2006/relationships/hyperlink" Target="mailto:sumit.choudhary@delta.com" TargetMode="External"/><Relationship Id="rId97" Type="http://schemas.openxmlformats.org/officeDocument/2006/relationships/hyperlink" Target="mailto:sumit.choudhary@delta.com" TargetMode="External"/><Relationship Id="rId104" Type="http://schemas.openxmlformats.org/officeDocument/2006/relationships/hyperlink" Target="mailto:sumit.choudhary@delta.com" TargetMode="External"/><Relationship Id="rId120" Type="http://schemas.openxmlformats.org/officeDocument/2006/relationships/hyperlink" Target="mailto:sumit.choudhary@delta.com" TargetMode="External"/><Relationship Id="rId125" Type="http://schemas.openxmlformats.org/officeDocument/2006/relationships/hyperlink" Target="mailto:sumit.choudhary@delta.com" TargetMode="External"/><Relationship Id="rId7" Type="http://schemas.openxmlformats.org/officeDocument/2006/relationships/hyperlink" Target="mailto:sumit.choudhary@delta.com" TargetMode="External"/><Relationship Id="rId71" Type="http://schemas.openxmlformats.org/officeDocument/2006/relationships/hyperlink" Target="mailto:sumit.choudhary@delta.com" TargetMode="External"/><Relationship Id="rId92" Type="http://schemas.openxmlformats.org/officeDocument/2006/relationships/hyperlink" Target="mailto:sumit.choudhary@delta.com" TargetMode="External"/><Relationship Id="rId2" Type="http://schemas.openxmlformats.org/officeDocument/2006/relationships/hyperlink" Target="mailto:sumit.choudhary@delta.com" TargetMode="External"/><Relationship Id="rId29" Type="http://schemas.openxmlformats.org/officeDocument/2006/relationships/hyperlink" Target="mailto:sumit.choudhary@delta.com" TargetMode="External"/><Relationship Id="rId24" Type="http://schemas.openxmlformats.org/officeDocument/2006/relationships/hyperlink" Target="mailto:sumit.choudhary@delta.com" TargetMode="External"/><Relationship Id="rId40" Type="http://schemas.openxmlformats.org/officeDocument/2006/relationships/hyperlink" Target="mailto:sumit.choudhary@delta.com" TargetMode="External"/><Relationship Id="rId45" Type="http://schemas.openxmlformats.org/officeDocument/2006/relationships/hyperlink" Target="mailto:sumit.choudhary@delta.com" TargetMode="External"/><Relationship Id="rId66" Type="http://schemas.openxmlformats.org/officeDocument/2006/relationships/hyperlink" Target="mailto:sumit.choudhary@delta.com" TargetMode="External"/><Relationship Id="rId87" Type="http://schemas.openxmlformats.org/officeDocument/2006/relationships/hyperlink" Target="mailto:sumit.choudhary@delta.com" TargetMode="External"/><Relationship Id="rId110" Type="http://schemas.openxmlformats.org/officeDocument/2006/relationships/hyperlink" Target="mailto:sumit.choudhary@delta.com" TargetMode="External"/><Relationship Id="rId115" Type="http://schemas.openxmlformats.org/officeDocument/2006/relationships/hyperlink" Target="mailto:sumit.choudhary@delta.com" TargetMode="External"/><Relationship Id="rId61" Type="http://schemas.openxmlformats.org/officeDocument/2006/relationships/hyperlink" Target="mailto:sumit.choudhary@delta.com" TargetMode="External"/><Relationship Id="rId82" Type="http://schemas.openxmlformats.org/officeDocument/2006/relationships/hyperlink" Target="mailto:sumit.choudhary@delta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sumit.choudhary@delta.com;Delta2" TargetMode="External"/><Relationship Id="rId13" Type="http://schemas.openxmlformats.org/officeDocument/2006/relationships/hyperlink" Target="mailto:sumit.choudhary@delta.com;Delta2" TargetMode="External"/><Relationship Id="rId18" Type="http://schemas.openxmlformats.org/officeDocument/2006/relationships/hyperlink" Target="mailto:sumit.choudhary@delta.com;Delta2" TargetMode="External"/><Relationship Id="rId26" Type="http://schemas.openxmlformats.org/officeDocument/2006/relationships/hyperlink" Target="mailto:sumit.choudhary@delta.com;Delta2" TargetMode="External"/><Relationship Id="rId3" Type="http://schemas.openxmlformats.org/officeDocument/2006/relationships/hyperlink" Target="mailto:sumit.choudhary@delta.com;Delta2" TargetMode="External"/><Relationship Id="rId21" Type="http://schemas.openxmlformats.org/officeDocument/2006/relationships/hyperlink" Target="mailto:sumit.choudhary@delta.com;Delta2" TargetMode="External"/><Relationship Id="rId7" Type="http://schemas.openxmlformats.org/officeDocument/2006/relationships/hyperlink" Target="mailto:sumit.choudhary@delta.com;Delta2" TargetMode="External"/><Relationship Id="rId12" Type="http://schemas.openxmlformats.org/officeDocument/2006/relationships/hyperlink" Target="mailto:sumit.choudhary@delta.com;Delta2" TargetMode="External"/><Relationship Id="rId17" Type="http://schemas.openxmlformats.org/officeDocument/2006/relationships/hyperlink" Target="mailto:sumit.choudhary@delta.com;Delta2" TargetMode="External"/><Relationship Id="rId25" Type="http://schemas.openxmlformats.org/officeDocument/2006/relationships/hyperlink" Target="mailto:sumit.choudhary@delta.com;Delta2" TargetMode="External"/><Relationship Id="rId33" Type="http://schemas.openxmlformats.org/officeDocument/2006/relationships/hyperlink" Target="mailto:sumit.choudhary@delta.com;Delta2" TargetMode="External"/><Relationship Id="rId2" Type="http://schemas.openxmlformats.org/officeDocument/2006/relationships/hyperlink" Target="mailto:sumit.choudhary@delta.com;Delta2" TargetMode="External"/><Relationship Id="rId16" Type="http://schemas.openxmlformats.org/officeDocument/2006/relationships/hyperlink" Target="mailto:sumit.choudhary@delta.com;Delta2" TargetMode="External"/><Relationship Id="rId20" Type="http://schemas.openxmlformats.org/officeDocument/2006/relationships/hyperlink" Target="mailto:sumit.choudhary@delta.com;Delta2" TargetMode="External"/><Relationship Id="rId29" Type="http://schemas.openxmlformats.org/officeDocument/2006/relationships/hyperlink" Target="mailto:sumit.choudhary@delta.com;Delta2" TargetMode="External"/><Relationship Id="rId1" Type="http://schemas.openxmlformats.org/officeDocument/2006/relationships/hyperlink" Target="mailto:sumit.choudhary@delta.com;Delta2" TargetMode="External"/><Relationship Id="rId6" Type="http://schemas.openxmlformats.org/officeDocument/2006/relationships/hyperlink" Target="mailto:sumit.choudhary@delta.com;Delta2" TargetMode="External"/><Relationship Id="rId11" Type="http://schemas.openxmlformats.org/officeDocument/2006/relationships/hyperlink" Target="mailto:sumit.choudhary@delta.com;Delta2" TargetMode="External"/><Relationship Id="rId24" Type="http://schemas.openxmlformats.org/officeDocument/2006/relationships/hyperlink" Target="mailto:sumit.choudhary@delta.com;Delta2" TargetMode="External"/><Relationship Id="rId32" Type="http://schemas.openxmlformats.org/officeDocument/2006/relationships/hyperlink" Target="mailto:sumit.choudhary@delta.com;Delta2" TargetMode="External"/><Relationship Id="rId5" Type="http://schemas.openxmlformats.org/officeDocument/2006/relationships/hyperlink" Target="mailto:sumit.choudhary@delta.com;Delta2" TargetMode="External"/><Relationship Id="rId15" Type="http://schemas.openxmlformats.org/officeDocument/2006/relationships/hyperlink" Target="mailto:sumit.choudhary@delta.com;Delta2" TargetMode="External"/><Relationship Id="rId23" Type="http://schemas.openxmlformats.org/officeDocument/2006/relationships/hyperlink" Target="mailto:sumit.choudhary@delta.com;Delta2" TargetMode="External"/><Relationship Id="rId28" Type="http://schemas.openxmlformats.org/officeDocument/2006/relationships/hyperlink" Target="mailto:sumit.choudhary@delta.com;Delta2" TargetMode="External"/><Relationship Id="rId10" Type="http://schemas.openxmlformats.org/officeDocument/2006/relationships/hyperlink" Target="mailto:sumit.choudhary@delta.com;Delta2" TargetMode="External"/><Relationship Id="rId19" Type="http://schemas.openxmlformats.org/officeDocument/2006/relationships/hyperlink" Target="mailto:sumit.choudhary@delta.com;Delta2" TargetMode="External"/><Relationship Id="rId31" Type="http://schemas.openxmlformats.org/officeDocument/2006/relationships/hyperlink" Target="mailto:sumit.choudhary@delta.com;Delta2" TargetMode="External"/><Relationship Id="rId4" Type="http://schemas.openxmlformats.org/officeDocument/2006/relationships/hyperlink" Target="mailto:sumit.choudhary@delta.com;Delta2" TargetMode="External"/><Relationship Id="rId9" Type="http://schemas.openxmlformats.org/officeDocument/2006/relationships/hyperlink" Target="mailto:sumit.choudhary@delta.com;Delta2" TargetMode="External"/><Relationship Id="rId14" Type="http://schemas.openxmlformats.org/officeDocument/2006/relationships/hyperlink" Target="mailto:sumit.choudhary@delta.com;Delta2" TargetMode="External"/><Relationship Id="rId22" Type="http://schemas.openxmlformats.org/officeDocument/2006/relationships/hyperlink" Target="mailto:sumit.choudhary@delta.com;Delta2" TargetMode="External"/><Relationship Id="rId27" Type="http://schemas.openxmlformats.org/officeDocument/2006/relationships/hyperlink" Target="mailto:sumit.choudhary@delta.com;Delta2" TargetMode="External"/><Relationship Id="rId30" Type="http://schemas.openxmlformats.org/officeDocument/2006/relationships/hyperlink" Target="mailto:sumit.choudhary@delta.com;Delta2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241A-A8EF-49D1-8679-699235E5685A}">
  <sheetPr codeName="Sheet1"/>
  <dimension ref="A1:C5"/>
  <sheetViews>
    <sheetView zoomScale="132" zoomScaleNormal="85" workbookViewId="0">
      <selection activeCell="C2" sqref="C2"/>
    </sheetView>
  </sheetViews>
  <sheetFormatPr defaultColWidth="8.83203125" defaultRowHeight="15.5"/>
  <cols>
    <col min="1" max="1" width="32.83203125" style="11" bestFit="1" customWidth="1"/>
    <col min="2" max="2" width="31" style="11" bestFit="1" customWidth="1"/>
    <col min="3" max="3" width="25" style="11" bestFit="1" customWidth="1"/>
    <col min="4" max="16384" width="8.83203125" style="11"/>
  </cols>
  <sheetData>
    <row r="1" spans="1:3">
      <c r="A1" s="10" t="s">
        <v>126</v>
      </c>
      <c r="B1" s="10" t="s">
        <v>127</v>
      </c>
      <c r="C1" s="10" t="s">
        <v>128</v>
      </c>
    </row>
    <row r="2" spans="1:3">
      <c r="A2" s="11" t="s">
        <v>122</v>
      </c>
      <c r="B2" s="11" t="s">
        <v>129</v>
      </c>
      <c r="C2" s="23" t="s">
        <v>125</v>
      </c>
    </row>
    <row r="3" spans="1:3">
      <c r="A3" s="11" t="s">
        <v>123</v>
      </c>
      <c r="B3" s="11" t="s">
        <v>130</v>
      </c>
      <c r="C3" s="11" t="s">
        <v>124</v>
      </c>
    </row>
    <row r="4" spans="1:3">
      <c r="A4" s="11" t="s">
        <v>131</v>
      </c>
      <c r="B4" s="11" t="s">
        <v>133</v>
      </c>
      <c r="C4" s="11" t="s">
        <v>132</v>
      </c>
    </row>
    <row r="5" spans="1:3">
      <c r="A5" s="11" t="s">
        <v>137</v>
      </c>
      <c r="B5" s="11" t="s">
        <v>135</v>
      </c>
      <c r="C5" s="11" t="s">
        <v>136</v>
      </c>
    </row>
  </sheetData>
  <hyperlinks>
    <hyperlink ref="C2" r:id="rId1" xr:uid="{C57EAA2D-D43D-4541-B32F-F91DCE5D0C4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D980-905D-FC4A-81AD-0000D690C0FF}">
  <sheetPr codeName="Sheet3"/>
  <dimension ref="A1:E16"/>
  <sheetViews>
    <sheetView zoomScale="178" workbookViewId="0"/>
  </sheetViews>
  <sheetFormatPr defaultColWidth="10.83203125" defaultRowHeight="15.5"/>
  <cols>
    <col min="1" max="1" width="47.58203125" style="11" customWidth="1"/>
    <col min="2" max="3" width="16.58203125" style="11" customWidth="1"/>
    <col min="4" max="4" width="10.83203125" style="11" customWidth="1"/>
    <col min="5" max="5" width="31" style="11" customWidth="1"/>
    <col min="6" max="16384" width="10.83203125" style="11"/>
  </cols>
  <sheetData>
    <row r="1" spans="1:5">
      <c r="A1" s="1" t="s">
        <v>109</v>
      </c>
      <c r="B1" s="1" t="s">
        <v>162</v>
      </c>
      <c r="C1" s="1" t="s">
        <v>108</v>
      </c>
      <c r="D1" s="1" t="s">
        <v>195</v>
      </c>
      <c r="E1" s="1" t="s">
        <v>224</v>
      </c>
    </row>
    <row r="2" spans="1:5" ht="32.15" customHeight="1">
      <c r="A2" s="11" t="s">
        <v>139</v>
      </c>
      <c r="B2" s="3" t="s">
        <v>111</v>
      </c>
      <c r="C2" s="24" t="s">
        <v>112</v>
      </c>
      <c r="D2" s="34" t="s">
        <v>121</v>
      </c>
      <c r="E2" s="41">
        <f>COUNTA(ABGeneralCargo!A:A)-1</f>
        <v>6</v>
      </c>
    </row>
    <row r="3" spans="1:5" ht="16">
      <c r="A3" s="11" t="s">
        <v>138</v>
      </c>
      <c r="B3" s="3" t="s">
        <v>111</v>
      </c>
      <c r="C3" s="24" t="s">
        <v>114</v>
      </c>
      <c r="D3" s="34" t="s">
        <v>121</v>
      </c>
      <c r="E3" s="41">
        <f>COUNTA(ABPerishable!A:A)-1</f>
        <v>10</v>
      </c>
    </row>
    <row r="4" spans="1:5" ht="16">
      <c r="A4" s="11" t="s">
        <v>167</v>
      </c>
      <c r="B4" s="3" t="s">
        <v>111</v>
      </c>
      <c r="C4" s="23" t="s">
        <v>171</v>
      </c>
      <c r="D4" s="34" t="s">
        <v>121</v>
      </c>
      <c r="E4" s="41">
        <f>COUNTA(ABPharma!A:A)-1</f>
        <v>10</v>
      </c>
    </row>
    <row r="5" spans="1:5" ht="16">
      <c r="A5" s="11" t="s">
        <v>168</v>
      </c>
      <c r="B5" s="3" t="s">
        <v>111</v>
      </c>
      <c r="C5" s="23" t="s">
        <v>172</v>
      </c>
      <c r="D5" s="34" t="s">
        <v>121</v>
      </c>
      <c r="E5" s="41">
        <f>COUNTA(ABMedical!A:A)-1</f>
        <v>12</v>
      </c>
    </row>
    <row r="6" spans="1:5" ht="16">
      <c r="A6" s="11" t="s">
        <v>169</v>
      </c>
      <c r="B6" s="3" t="s">
        <v>111</v>
      </c>
      <c r="C6" s="23" t="s">
        <v>173</v>
      </c>
      <c r="D6" s="34" t="s">
        <v>121</v>
      </c>
      <c r="E6" s="41">
        <f>COUNTA(ABValuables!A:A)-1</f>
        <v>4</v>
      </c>
    </row>
    <row r="7" spans="1:5" ht="16">
      <c r="A7" s="11" t="s">
        <v>170</v>
      </c>
      <c r="B7" s="3" t="s">
        <v>111</v>
      </c>
      <c r="C7" s="23" t="s">
        <v>174</v>
      </c>
      <c r="D7" s="34" t="s">
        <v>121</v>
      </c>
      <c r="E7" s="41">
        <f>COUNTA(ABHumanRemains!A:A)-1</f>
        <v>6</v>
      </c>
    </row>
    <row r="8" spans="1:5" ht="16">
      <c r="A8" s="11" t="s">
        <v>198</v>
      </c>
      <c r="B8" s="3" t="s">
        <v>111</v>
      </c>
      <c r="C8" s="23" t="s">
        <v>228</v>
      </c>
      <c r="D8" s="34" t="s">
        <v>121</v>
      </c>
      <c r="E8" s="41">
        <f>COUNTA(ABLiveAnimal!A:A)-1</f>
        <v>14</v>
      </c>
    </row>
    <row r="9" spans="1:5">
      <c r="A9" s="11" t="s">
        <v>199</v>
      </c>
      <c r="B9" s="3" t="s">
        <v>111</v>
      </c>
      <c r="C9" s="23" t="s">
        <v>200</v>
      </c>
      <c r="D9" s="11" t="s">
        <v>206</v>
      </c>
      <c r="E9" s="41">
        <f>COUNTA(GBParcel16Oz!A:A)-1</f>
        <v>6</v>
      </c>
    </row>
    <row r="10" spans="1:5">
      <c r="A10" s="11" t="s">
        <v>267</v>
      </c>
      <c r="B10" s="3" t="s">
        <v>111</v>
      </c>
      <c r="C10" s="23" t="s">
        <v>201</v>
      </c>
      <c r="D10" s="11" t="s">
        <v>206</v>
      </c>
      <c r="E10" s="41">
        <f>COUNTA(GBParcel!A:A)-1</f>
        <v>6</v>
      </c>
    </row>
    <row r="11" spans="1:5">
      <c r="A11" s="11" t="s">
        <v>268</v>
      </c>
      <c r="B11" s="3" t="s">
        <v>111</v>
      </c>
      <c r="C11" s="23" t="s">
        <v>202</v>
      </c>
      <c r="D11" s="11" t="s">
        <v>206</v>
      </c>
      <c r="E11" s="41">
        <f>COUNTA(GBPetLive!A:A)-1</f>
        <v>12</v>
      </c>
    </row>
    <row r="12" spans="1:5">
      <c r="A12" s="11" t="s">
        <v>269</v>
      </c>
      <c r="B12" s="3" t="s">
        <v>111</v>
      </c>
      <c r="C12" s="23" t="s">
        <v>203</v>
      </c>
      <c r="D12" s="11" t="s">
        <v>206</v>
      </c>
      <c r="E12" s="41">
        <f>COUNTA(GBPerishable!A:A)-1</f>
        <v>10</v>
      </c>
    </row>
    <row r="13" spans="1:5">
      <c r="A13" s="11" t="s">
        <v>270</v>
      </c>
      <c r="B13" s="3" t="s">
        <v>111</v>
      </c>
      <c r="C13" s="23" t="s">
        <v>204</v>
      </c>
      <c r="D13" s="11" t="s">
        <v>206</v>
      </c>
      <c r="E13" s="41">
        <f>COUNTA(GBPharma!A:A)-1</f>
        <v>10</v>
      </c>
    </row>
    <row r="14" spans="1:5">
      <c r="A14" s="11" t="s">
        <v>271</v>
      </c>
      <c r="B14" s="3" t="s">
        <v>111</v>
      </c>
      <c r="C14" s="23" t="s">
        <v>205</v>
      </c>
      <c r="D14" s="11" t="s">
        <v>206</v>
      </c>
      <c r="E14" s="41">
        <f>COUNTA(GBMedical!A:A)-1</f>
        <v>12</v>
      </c>
    </row>
    <row r="15" spans="1:5">
      <c r="A15" s="11" t="s">
        <v>272</v>
      </c>
      <c r="B15" s="3" t="s">
        <v>111</v>
      </c>
      <c r="C15" s="23" t="s">
        <v>256</v>
      </c>
      <c r="D15" s="11" t="s">
        <v>206</v>
      </c>
      <c r="E15" s="41">
        <f>COUNTA(GBSpecialty!A:A)-1</f>
        <v>4</v>
      </c>
    </row>
    <row r="16" spans="1:5">
      <c r="A16" s="11" t="s">
        <v>273</v>
      </c>
      <c r="B16" s="3" t="s">
        <v>111</v>
      </c>
      <c r="C16" s="23" t="s">
        <v>229</v>
      </c>
      <c r="D16" s="11" t="s">
        <v>206</v>
      </c>
      <c r="E16" s="41">
        <f>COUNTA(GBHumanRemains!A:A)-1</f>
        <v>6</v>
      </c>
    </row>
  </sheetData>
  <autoFilter ref="A1:E1" xr:uid="{FF8DD980-905D-FC4A-81AD-0000D690C0FF}"/>
  <hyperlinks>
    <hyperlink ref="C3" location="ABPerishable!A1" display="ABPerishable" xr:uid="{6DAF99B6-7C44-534B-A3CC-DD2EDDBC286D}"/>
    <hyperlink ref="C2" location="ABGeneralCargo!A1" display="ABGeneralCargo" xr:uid="{01ED614A-F297-4341-BC2A-22280BB84B62}"/>
    <hyperlink ref="C4" location="ABPharma!A1" display="ABPharma" xr:uid="{B0FFDF19-D4B7-2243-B486-947D7B1CBE82}"/>
    <hyperlink ref="C5" location="ABMedical!A1" display="ABMedical" xr:uid="{28CC7910-E232-9C45-BBBB-2F4654E67AF4}"/>
    <hyperlink ref="C6" location="ABValuables!A1" display="ABValuables" xr:uid="{16C82128-3726-404B-AC2D-858E22721524}"/>
    <hyperlink ref="C7" location="ABHumanRemains!A1" display="ABHumanRemains" xr:uid="{E36EA822-86BD-0E49-AC4A-61B18AF89173}"/>
    <hyperlink ref="C8" location="ABLiveAnimal!A1" display="ABLiveAnimals" xr:uid="{50C0D3C8-0DBC-D348-ACAD-E243364781AB}"/>
    <hyperlink ref="C9" location="GBParcel16Oz!A1" display="GBParcel16Oz" xr:uid="{B53716EB-27D2-8544-A45C-15E5F79ABDEA}"/>
    <hyperlink ref="C10" location="GBParcel!A1" display="GBParcel" xr:uid="{DDB81C46-1F54-984C-A84A-AB6C858772FE}"/>
    <hyperlink ref="C11" location="GBPetLive!A1" display="GBPetLive" xr:uid="{B0BD5019-AA2F-E54A-9556-DCB43E5BBF59}"/>
    <hyperlink ref="C12" location="GBPerishable!A1" display="GBPerishable" xr:uid="{3D5A3C1F-8DA6-3048-98CD-7C6BF24109EF}"/>
    <hyperlink ref="C13" location="GBPharma!A1" display="GBPharma" xr:uid="{A36E1BE1-FCCF-4342-9171-7731BCC1D08F}"/>
    <hyperlink ref="C14" location="GBMedical!A1" display="GBMedical" xr:uid="{C9DDFD3D-821C-0B40-A968-940078BDAD57}"/>
    <hyperlink ref="C15" location="GBSpecialty!A1" display="GBSpecialty" xr:uid="{868076B6-7529-0342-87CB-6C7199A6621F}"/>
    <hyperlink ref="C16" location="GBHumanRemains!A1" display="GBHumanRemains" xr:uid="{79595626-BA00-BA44-85B8-006B7ABE920E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E888-1773-9E47-9558-1F0A440779BF}">
  <dimension ref="A1:AL129"/>
  <sheetViews>
    <sheetView tabSelected="1" topLeftCell="Z108" zoomScale="93" zoomScaleNormal="93" workbookViewId="0">
      <selection activeCell="L127" sqref="L127"/>
    </sheetView>
  </sheetViews>
  <sheetFormatPr defaultColWidth="10.83203125" defaultRowHeight="15.5"/>
  <cols>
    <col min="1" max="1" width="104.08203125" style="2" customWidth="1"/>
    <col min="2" max="2" width="18.08203125" style="2" bestFit="1" customWidth="1"/>
    <col min="3" max="3" width="23.33203125" style="2" customWidth="1"/>
    <col min="4" max="4" width="25.5" style="2" customWidth="1"/>
    <col min="5" max="5" width="13.33203125" style="2" customWidth="1"/>
    <col min="6" max="6" width="21.83203125" style="2" customWidth="1"/>
    <col min="7" max="7" width="18.83203125" style="2" customWidth="1"/>
    <col min="8" max="8" width="14" style="2" customWidth="1"/>
    <col min="9" max="9" width="18.5" style="2" customWidth="1"/>
    <col min="10" max="10" width="52" style="2" bestFit="1" customWidth="1"/>
    <col min="11" max="11" width="17.83203125" style="2" bestFit="1" customWidth="1"/>
    <col min="12" max="12" width="15" style="2" bestFit="1" customWidth="1"/>
    <col min="13" max="13" width="19.5" style="2" bestFit="1" customWidth="1"/>
    <col min="14" max="14" width="16" style="2" bestFit="1" customWidth="1"/>
    <col min="15" max="15" width="14.5" style="2" bestFit="1" customWidth="1"/>
    <col min="16" max="16" width="14" style="2" bestFit="1" customWidth="1"/>
    <col min="17" max="17" width="14.33203125" style="2" bestFit="1" customWidth="1"/>
    <col min="18" max="18" width="12.5" style="2" bestFit="1" customWidth="1"/>
    <col min="19" max="19" width="19" style="2" bestFit="1" customWidth="1"/>
    <col min="20" max="20" width="25.33203125" style="2" bestFit="1" customWidth="1"/>
    <col min="21" max="21" width="37.08203125" style="2" bestFit="1" customWidth="1"/>
    <col min="22" max="22" width="21.58203125" style="2" bestFit="1" customWidth="1"/>
    <col min="23" max="23" width="20.08203125" style="2" bestFit="1" customWidth="1"/>
    <col min="24" max="24" width="28" style="2" bestFit="1" customWidth="1"/>
    <col min="25" max="25" width="10.83203125" style="2"/>
    <col min="26" max="26" width="34.58203125" style="2" customWidth="1"/>
    <col min="27" max="27" width="22.08203125" style="2" bestFit="1" customWidth="1"/>
    <col min="28" max="28" width="22.33203125" style="2" bestFit="1" customWidth="1"/>
    <col min="29" max="29" width="13.25" style="2" bestFit="1" customWidth="1"/>
    <col min="30" max="31" width="8.58203125" style="2" bestFit="1" customWidth="1"/>
    <col min="32" max="32" width="6.83203125" style="2" bestFit="1" customWidth="1"/>
    <col min="33" max="33" width="7.5" style="2" bestFit="1" customWidth="1"/>
    <col min="34" max="34" width="6" style="2" bestFit="1" customWidth="1"/>
    <col min="35" max="35" width="14.33203125" style="2" bestFit="1" customWidth="1"/>
    <col min="36" max="36" width="14.33203125" style="2" customWidth="1"/>
    <col min="37" max="37" width="4.83203125" style="2" bestFit="1" customWidth="1"/>
    <col min="38" max="38" width="16.58203125" style="2" customWidth="1"/>
    <col min="39" max="16384" width="10.83203125" style="2"/>
  </cols>
  <sheetData>
    <row r="1" spans="1:38">
      <c r="A1" s="20" t="s">
        <v>134</v>
      </c>
      <c r="B1" s="20" t="s">
        <v>2</v>
      </c>
      <c r="C1" s="20" t="s">
        <v>210</v>
      </c>
      <c r="D1" s="20" t="s">
        <v>122</v>
      </c>
      <c r="E1" s="20" t="s">
        <v>123</v>
      </c>
      <c r="F1" s="20" t="s">
        <v>101</v>
      </c>
      <c r="G1" s="20" t="s">
        <v>32</v>
      </c>
      <c r="H1" s="20" t="s">
        <v>140</v>
      </c>
      <c r="I1" s="20" t="s">
        <v>141</v>
      </c>
      <c r="J1" s="20" t="s">
        <v>211</v>
      </c>
      <c r="K1" s="20" t="s">
        <v>196</v>
      </c>
      <c r="L1" s="20" t="s">
        <v>146</v>
      </c>
      <c r="M1" s="20" t="s">
        <v>144</v>
      </c>
      <c r="N1" s="20" t="s">
        <v>150</v>
      </c>
      <c r="O1" s="20" t="s">
        <v>147</v>
      </c>
      <c r="P1" s="20" t="s">
        <v>148</v>
      </c>
      <c r="Q1" s="26" t="s">
        <v>149</v>
      </c>
      <c r="R1" s="20" t="s">
        <v>151</v>
      </c>
      <c r="S1" s="20" t="s">
        <v>5</v>
      </c>
      <c r="T1" s="20" t="s">
        <v>6</v>
      </c>
      <c r="U1" s="20" t="s">
        <v>7</v>
      </c>
      <c r="V1" s="20" t="s">
        <v>8</v>
      </c>
      <c r="W1" s="20" t="s">
        <v>10</v>
      </c>
      <c r="X1" s="20" t="s">
        <v>56</v>
      </c>
      <c r="Y1" s="20" t="s">
        <v>59</v>
      </c>
      <c r="Z1" s="20" t="s">
        <v>11</v>
      </c>
      <c r="AA1" s="20" t="s">
        <v>12</v>
      </c>
      <c r="AB1" s="20" t="s">
        <v>13</v>
      </c>
      <c r="AC1" s="20" t="s">
        <v>40</v>
      </c>
      <c r="AD1" s="20" t="s">
        <v>153</v>
      </c>
      <c r="AE1" s="20" t="s">
        <v>154</v>
      </c>
      <c r="AF1" s="20" t="s">
        <v>155</v>
      </c>
      <c r="AG1" s="20" t="s">
        <v>156</v>
      </c>
      <c r="AH1" s="20" t="s">
        <v>157</v>
      </c>
      <c r="AI1" s="20" t="s">
        <v>102</v>
      </c>
      <c r="AJ1" s="20" t="s">
        <v>207</v>
      </c>
      <c r="AK1" s="20" t="s">
        <v>73</v>
      </c>
      <c r="AL1" s="20" t="s">
        <v>230</v>
      </c>
    </row>
    <row r="2" spans="1:38">
      <c r="A2" s="2" t="str">
        <f>_xlfn.CONCAT("createAndConfirmAdvanceBooking",SUBSTITUTE(B2," ","_"),"_",SUBSTITUTE(C2," ","_"),"_",SUBSTITUTE(SUBSTITUTE(SUBSTITUTE(SUBSTITUTE(SUBSTITUTE(SUBSTITUTE(SUBSTITUTE(J2," ",""),"-",""),"/",""),"–",""),"+",""),"°",""),",",""),"_",SUBSTITUTE(AJ2," ","_"))</f>
        <v>createAndConfirmAdvanceBookingGeneral_Cargo_STANDARD_Loose_Domestic</v>
      </c>
      <c r="B2" s="44" t="s">
        <v>15</v>
      </c>
      <c r="C2" s="45" t="s">
        <v>192</v>
      </c>
      <c r="D2" s="46" t="s">
        <v>125</v>
      </c>
      <c r="E2" s="44" t="s">
        <v>124</v>
      </c>
      <c r="F2" s="44" t="b">
        <v>1</v>
      </c>
      <c r="G2" s="44" t="s">
        <v>35</v>
      </c>
      <c r="H2" s="44" t="s">
        <v>142</v>
      </c>
      <c r="I2" s="44" t="s">
        <v>165</v>
      </c>
      <c r="J2" s="44" t="s">
        <v>16</v>
      </c>
      <c r="K2" s="44" t="s">
        <v>407</v>
      </c>
      <c r="L2" s="44">
        <v>30</v>
      </c>
      <c r="M2" s="44" t="s">
        <v>197</v>
      </c>
      <c r="N2" s="44">
        <v>1</v>
      </c>
      <c r="O2" s="44">
        <v>10</v>
      </c>
      <c r="P2" s="44">
        <v>10</v>
      </c>
      <c r="Q2" s="44">
        <v>10</v>
      </c>
      <c r="R2" s="44" t="s">
        <v>152</v>
      </c>
      <c r="S2" s="44" t="s">
        <v>19</v>
      </c>
      <c r="T2" s="44" t="s">
        <v>20</v>
      </c>
      <c r="U2" s="44" t="s">
        <v>20</v>
      </c>
      <c r="V2" s="44" t="s">
        <v>20</v>
      </c>
      <c r="W2" s="44">
        <v>2</v>
      </c>
      <c r="X2" s="44" t="s">
        <v>20</v>
      </c>
      <c r="Y2" s="44" t="s">
        <v>35</v>
      </c>
      <c r="Z2" s="47" t="s">
        <v>23</v>
      </c>
      <c r="AA2" s="44" t="s">
        <v>21</v>
      </c>
      <c r="AB2" s="44" t="s">
        <v>22</v>
      </c>
      <c r="AC2" s="44" t="s">
        <v>35</v>
      </c>
      <c r="AD2" s="44" t="s">
        <v>158</v>
      </c>
      <c r="AE2" s="44" t="s">
        <v>159</v>
      </c>
      <c r="AF2" s="44" t="s">
        <v>160</v>
      </c>
      <c r="AG2" s="44" t="s">
        <v>161</v>
      </c>
      <c r="AH2" s="44">
        <v>55055</v>
      </c>
      <c r="AI2" s="47" t="s">
        <v>106</v>
      </c>
      <c r="AJ2" s="47" t="s">
        <v>208</v>
      </c>
      <c r="AK2" s="44"/>
    </row>
    <row r="3" spans="1:38">
      <c r="A3" s="2" t="str">
        <f t="shared" ref="A3:A63" si="0">_xlfn.CONCAT("createAndConfirmAdvanceBooking",SUBSTITUTE(B3," ","_"),"_",SUBSTITUTE(C3," ","_"),"_",SUBSTITUTE(SUBSTITUTE(SUBSTITUTE(SUBSTITUTE(SUBSTITUTE(SUBSTITUTE(SUBSTITUTE(J3," ",""),"-",""),"/",""),"–",""),"+",""),"°",""),",",""),"_",SUBSTITUTE(AJ3," ","_"))</f>
        <v>createAndConfirmAdvanceBookingGeneral_Cargo_DSH_Loose_Domestic</v>
      </c>
      <c r="B3" s="44" t="s">
        <v>15</v>
      </c>
      <c r="C3" s="48" t="s">
        <v>113</v>
      </c>
      <c r="D3" s="46" t="s">
        <v>125</v>
      </c>
      <c r="E3" s="44" t="s">
        <v>124</v>
      </c>
      <c r="F3" s="44" t="b">
        <v>1</v>
      </c>
      <c r="G3" s="44" t="s">
        <v>35</v>
      </c>
      <c r="H3" s="44" t="s">
        <v>143</v>
      </c>
      <c r="I3" s="44" t="s">
        <v>142</v>
      </c>
      <c r="J3" s="2" t="s">
        <v>16</v>
      </c>
      <c r="K3" s="44" t="s">
        <v>407</v>
      </c>
      <c r="L3" s="44">
        <v>90</v>
      </c>
      <c r="M3" s="44" t="s">
        <v>197</v>
      </c>
      <c r="N3" s="44">
        <v>1</v>
      </c>
      <c r="O3" s="44">
        <v>10</v>
      </c>
      <c r="P3" s="44">
        <v>10</v>
      </c>
      <c r="Q3" s="44">
        <v>10</v>
      </c>
      <c r="R3" s="44" t="s">
        <v>152</v>
      </c>
      <c r="S3" s="44" t="s">
        <v>19</v>
      </c>
      <c r="T3" s="44" t="s">
        <v>20</v>
      </c>
      <c r="U3" s="44" t="s">
        <v>20</v>
      </c>
      <c r="V3" s="44" t="s">
        <v>20</v>
      </c>
      <c r="W3" s="44">
        <v>2</v>
      </c>
      <c r="X3" s="44" t="s">
        <v>20</v>
      </c>
      <c r="Y3" s="44" t="s">
        <v>35</v>
      </c>
      <c r="Z3" s="47" t="s">
        <v>23</v>
      </c>
      <c r="AA3" s="44" t="s">
        <v>21</v>
      </c>
      <c r="AB3" s="44" t="s">
        <v>22</v>
      </c>
      <c r="AC3" s="44" t="s">
        <v>35</v>
      </c>
      <c r="AD3" s="44" t="s">
        <v>158</v>
      </c>
      <c r="AE3" s="44" t="s">
        <v>159</v>
      </c>
      <c r="AF3" s="44" t="s">
        <v>160</v>
      </c>
      <c r="AG3" s="44" t="s">
        <v>161</v>
      </c>
      <c r="AH3" s="44">
        <v>55055</v>
      </c>
      <c r="AI3" s="47" t="s">
        <v>106</v>
      </c>
      <c r="AJ3" s="47" t="s">
        <v>208</v>
      </c>
      <c r="AK3" s="44"/>
    </row>
    <row r="4" spans="1:38">
      <c r="A4" s="2" t="str">
        <f t="shared" si="0"/>
        <v>createAndConfirmAdvanceBookingGeneral_Cargo_DMD_Loose_Domestic</v>
      </c>
      <c r="B4" s="44" t="s">
        <v>15</v>
      </c>
      <c r="C4" s="48" t="s">
        <v>163</v>
      </c>
      <c r="D4" s="46" t="s">
        <v>125</v>
      </c>
      <c r="E4" s="44" t="s">
        <v>124</v>
      </c>
      <c r="F4" s="44" t="b">
        <v>1</v>
      </c>
      <c r="G4" s="44" t="s">
        <v>35</v>
      </c>
      <c r="H4" s="44" t="s">
        <v>143</v>
      </c>
      <c r="I4" s="44" t="s">
        <v>164</v>
      </c>
      <c r="J4" s="2" t="s">
        <v>16</v>
      </c>
      <c r="K4" s="44" t="s">
        <v>407</v>
      </c>
      <c r="L4" s="44">
        <v>10</v>
      </c>
      <c r="M4" s="44" t="s">
        <v>197</v>
      </c>
      <c r="N4" s="44">
        <v>1</v>
      </c>
      <c r="O4" s="44">
        <v>10</v>
      </c>
      <c r="P4" s="44">
        <v>10</v>
      </c>
      <c r="Q4" s="44">
        <v>10</v>
      </c>
      <c r="R4" s="44" t="s">
        <v>152</v>
      </c>
      <c r="S4" s="44" t="s">
        <v>19</v>
      </c>
      <c r="T4" s="44" t="s">
        <v>20</v>
      </c>
      <c r="U4" s="44" t="s">
        <v>20</v>
      </c>
      <c r="V4" s="44" t="s">
        <v>20</v>
      </c>
      <c r="W4" s="44">
        <v>2</v>
      </c>
      <c r="X4" s="44" t="s">
        <v>20</v>
      </c>
      <c r="Y4" s="44" t="s">
        <v>35</v>
      </c>
      <c r="Z4" s="47" t="s">
        <v>23</v>
      </c>
      <c r="AA4" s="44" t="s">
        <v>21</v>
      </c>
      <c r="AB4" s="44" t="s">
        <v>22</v>
      </c>
      <c r="AC4" s="44" t="s">
        <v>35</v>
      </c>
      <c r="AD4" s="44" t="s">
        <v>158</v>
      </c>
      <c r="AE4" s="44" t="s">
        <v>159</v>
      </c>
      <c r="AF4" s="44" t="s">
        <v>160</v>
      </c>
      <c r="AG4" s="44" t="s">
        <v>161</v>
      </c>
      <c r="AH4" s="44">
        <v>55055</v>
      </c>
      <c r="AI4" s="47" t="s">
        <v>106</v>
      </c>
      <c r="AJ4" s="47" t="s">
        <v>208</v>
      </c>
      <c r="AK4" s="44"/>
    </row>
    <row r="5" spans="1:38">
      <c r="A5" s="2" t="str">
        <f t="shared" si="0"/>
        <v>createAndConfirmAdvanceBookingGeneral_Cargo_STANDARD_Loose_International</v>
      </c>
      <c r="B5" s="44" t="s">
        <v>15</v>
      </c>
      <c r="C5" s="45" t="s">
        <v>192</v>
      </c>
      <c r="D5" s="46" t="s">
        <v>125</v>
      </c>
      <c r="E5" s="44" t="s">
        <v>124</v>
      </c>
      <c r="F5" s="44" t="b">
        <v>1</v>
      </c>
      <c r="G5" s="44" t="s">
        <v>35</v>
      </c>
      <c r="H5" s="44" t="s">
        <v>142</v>
      </c>
      <c r="I5" s="44" t="s">
        <v>165</v>
      </c>
      <c r="J5" s="44" t="s">
        <v>16</v>
      </c>
      <c r="K5" s="44" t="s">
        <v>407</v>
      </c>
      <c r="L5" s="44">
        <v>30</v>
      </c>
      <c r="M5" s="44" t="s">
        <v>197</v>
      </c>
      <c r="N5" s="44">
        <v>1</v>
      </c>
      <c r="O5" s="44">
        <v>10</v>
      </c>
      <c r="P5" s="44">
        <v>10</v>
      </c>
      <c r="Q5" s="44">
        <v>10</v>
      </c>
      <c r="R5" s="44" t="s">
        <v>152</v>
      </c>
      <c r="S5" s="44" t="s">
        <v>19</v>
      </c>
      <c r="T5" s="44" t="s">
        <v>20</v>
      </c>
      <c r="U5" s="44" t="s">
        <v>20</v>
      </c>
      <c r="V5" s="44" t="s">
        <v>20</v>
      </c>
      <c r="W5" s="44">
        <v>2</v>
      </c>
      <c r="X5" s="44" t="s">
        <v>20</v>
      </c>
      <c r="Y5" s="44" t="s">
        <v>35</v>
      </c>
      <c r="Z5" s="47" t="s">
        <v>23</v>
      </c>
      <c r="AA5" s="44" t="s">
        <v>21</v>
      </c>
      <c r="AB5" s="44" t="s">
        <v>22</v>
      </c>
      <c r="AC5" s="44" t="s">
        <v>35</v>
      </c>
      <c r="AD5" s="44" t="s">
        <v>158</v>
      </c>
      <c r="AE5" s="44" t="s">
        <v>159</v>
      </c>
      <c r="AF5" s="44" t="s">
        <v>160</v>
      </c>
      <c r="AG5" s="44" t="s">
        <v>161</v>
      </c>
      <c r="AH5" s="44">
        <v>55055</v>
      </c>
      <c r="AI5" s="47" t="s">
        <v>266</v>
      </c>
      <c r="AJ5" s="47" t="s">
        <v>212</v>
      </c>
      <c r="AK5" s="44"/>
    </row>
    <row r="6" spans="1:38">
      <c r="A6" s="2" t="str">
        <f t="shared" si="0"/>
        <v>createAndConfirmAdvanceBookingGeneral_Cargo_DSH_Loose_International</v>
      </c>
      <c r="B6" s="44" t="s">
        <v>15</v>
      </c>
      <c r="C6" s="48" t="s">
        <v>113</v>
      </c>
      <c r="D6" s="46" t="s">
        <v>125</v>
      </c>
      <c r="E6" s="44" t="s">
        <v>124</v>
      </c>
      <c r="F6" s="44" t="b">
        <v>1</v>
      </c>
      <c r="G6" s="44" t="s">
        <v>35</v>
      </c>
      <c r="H6" s="44" t="s">
        <v>143</v>
      </c>
      <c r="I6" s="44" t="s">
        <v>142</v>
      </c>
      <c r="J6" s="2" t="s">
        <v>16</v>
      </c>
      <c r="K6" s="44" t="s">
        <v>407</v>
      </c>
      <c r="L6" s="44">
        <v>90</v>
      </c>
      <c r="M6" s="44" t="s">
        <v>197</v>
      </c>
      <c r="N6" s="44">
        <v>1</v>
      </c>
      <c r="O6" s="44">
        <v>10</v>
      </c>
      <c r="P6" s="44">
        <v>10</v>
      </c>
      <c r="Q6" s="44">
        <v>10</v>
      </c>
      <c r="R6" s="44" t="s">
        <v>152</v>
      </c>
      <c r="S6" s="44" t="s">
        <v>19</v>
      </c>
      <c r="T6" s="44" t="s">
        <v>20</v>
      </c>
      <c r="U6" s="44" t="s">
        <v>20</v>
      </c>
      <c r="V6" s="44" t="s">
        <v>20</v>
      </c>
      <c r="W6" s="44">
        <v>2</v>
      </c>
      <c r="X6" s="44" t="s">
        <v>20</v>
      </c>
      <c r="Y6" s="44" t="s">
        <v>35</v>
      </c>
      <c r="Z6" s="47" t="s">
        <v>23</v>
      </c>
      <c r="AA6" s="44" t="s">
        <v>21</v>
      </c>
      <c r="AB6" s="44" t="s">
        <v>22</v>
      </c>
      <c r="AC6" s="44" t="s">
        <v>35</v>
      </c>
      <c r="AD6" s="44" t="s">
        <v>158</v>
      </c>
      <c r="AE6" s="44" t="s">
        <v>159</v>
      </c>
      <c r="AF6" s="44" t="s">
        <v>160</v>
      </c>
      <c r="AG6" s="44" t="s">
        <v>161</v>
      </c>
      <c r="AH6" s="44">
        <v>55055</v>
      </c>
      <c r="AI6" s="47" t="s">
        <v>266</v>
      </c>
      <c r="AJ6" s="47" t="s">
        <v>212</v>
      </c>
      <c r="AK6" s="44"/>
    </row>
    <row r="7" spans="1:38">
      <c r="A7" s="2" t="str">
        <f t="shared" si="0"/>
        <v>createAndConfirmAdvanceBookingGeneral_Cargo_DMD_Loose_International</v>
      </c>
      <c r="B7" s="44" t="s">
        <v>15</v>
      </c>
      <c r="C7" s="48" t="s">
        <v>163</v>
      </c>
      <c r="D7" s="46" t="s">
        <v>125</v>
      </c>
      <c r="E7" s="44" t="s">
        <v>124</v>
      </c>
      <c r="F7" s="44" t="b">
        <v>1</v>
      </c>
      <c r="G7" s="44" t="s">
        <v>35</v>
      </c>
      <c r="H7" s="44" t="s">
        <v>143</v>
      </c>
      <c r="I7" s="44" t="s">
        <v>164</v>
      </c>
      <c r="J7" s="2" t="s">
        <v>16</v>
      </c>
      <c r="K7" s="44" t="s">
        <v>407</v>
      </c>
      <c r="L7" s="44">
        <v>10</v>
      </c>
      <c r="M7" s="44" t="s">
        <v>197</v>
      </c>
      <c r="N7" s="44">
        <v>1</v>
      </c>
      <c r="O7" s="44">
        <v>10</v>
      </c>
      <c r="P7" s="44">
        <v>10</v>
      </c>
      <c r="Q7" s="44">
        <v>10</v>
      </c>
      <c r="R7" s="44" t="s">
        <v>152</v>
      </c>
      <c r="S7" s="44" t="s">
        <v>19</v>
      </c>
      <c r="T7" s="44" t="s">
        <v>20</v>
      </c>
      <c r="U7" s="44" t="s">
        <v>20</v>
      </c>
      <c r="V7" s="44" t="s">
        <v>20</v>
      </c>
      <c r="W7" s="44">
        <v>2</v>
      </c>
      <c r="X7" s="44" t="s">
        <v>20</v>
      </c>
      <c r="Y7" s="44" t="s">
        <v>35</v>
      </c>
      <c r="Z7" s="47" t="s">
        <v>23</v>
      </c>
      <c r="AA7" s="44" t="s">
        <v>21</v>
      </c>
      <c r="AB7" s="44" t="s">
        <v>22</v>
      </c>
      <c r="AC7" s="44" t="s">
        <v>35</v>
      </c>
      <c r="AD7" s="44" t="s">
        <v>158</v>
      </c>
      <c r="AE7" s="44" t="s">
        <v>159</v>
      </c>
      <c r="AF7" s="44" t="s">
        <v>160</v>
      </c>
      <c r="AG7" s="44" t="s">
        <v>161</v>
      </c>
      <c r="AH7" s="44">
        <v>55055</v>
      </c>
      <c r="AI7" s="47" t="s">
        <v>266</v>
      </c>
      <c r="AJ7" s="47" t="s">
        <v>212</v>
      </c>
      <c r="AK7" s="44"/>
    </row>
    <row r="8" spans="1:38">
      <c r="A8" s="2" t="str">
        <f t="shared" si="0"/>
        <v>createAndConfirmAdvanceBookingPerishable_FRESH_Fresh1Activecontainer_Domestic</v>
      </c>
      <c r="B8" s="44" t="s">
        <v>47</v>
      </c>
      <c r="C8" s="2" t="s">
        <v>190</v>
      </c>
      <c r="D8" s="46" t="s">
        <v>125</v>
      </c>
      <c r="E8" s="44" t="s">
        <v>124</v>
      </c>
      <c r="F8" s="44" t="b">
        <v>1</v>
      </c>
      <c r="G8" s="44" t="s">
        <v>35</v>
      </c>
      <c r="H8" s="44" t="s">
        <v>142</v>
      </c>
      <c r="I8" s="44" t="s">
        <v>165</v>
      </c>
      <c r="J8" s="2" t="s">
        <v>57</v>
      </c>
      <c r="K8" s="44" t="s">
        <v>304</v>
      </c>
      <c r="L8" s="44">
        <v>10</v>
      </c>
      <c r="M8" s="44" t="s">
        <v>145</v>
      </c>
      <c r="N8" s="44">
        <v>1</v>
      </c>
      <c r="O8" s="44">
        <v>10</v>
      </c>
      <c r="P8" s="44">
        <v>10</v>
      </c>
      <c r="Q8" s="44">
        <v>10</v>
      </c>
      <c r="R8" s="44" t="s">
        <v>152</v>
      </c>
      <c r="S8" s="44" t="s">
        <v>19</v>
      </c>
      <c r="T8" s="44" t="s">
        <v>20</v>
      </c>
      <c r="U8" s="44" t="s">
        <v>20</v>
      </c>
      <c r="V8" s="44" t="s">
        <v>20</v>
      </c>
      <c r="W8" s="44">
        <v>2</v>
      </c>
      <c r="X8" s="44" t="s">
        <v>20</v>
      </c>
      <c r="Y8" s="44" t="s">
        <v>35</v>
      </c>
      <c r="Z8" s="47" t="s">
        <v>23</v>
      </c>
      <c r="AA8" s="44" t="s">
        <v>21</v>
      </c>
      <c r="AB8" s="44" t="s">
        <v>22</v>
      </c>
      <c r="AC8" s="44" t="s">
        <v>35</v>
      </c>
      <c r="AD8" s="44" t="s">
        <v>158</v>
      </c>
      <c r="AE8" s="44" t="s">
        <v>159</v>
      </c>
      <c r="AF8" s="44" t="s">
        <v>160</v>
      </c>
      <c r="AG8" s="44" t="s">
        <v>161</v>
      </c>
      <c r="AH8" s="44">
        <v>55055</v>
      </c>
      <c r="AI8" s="47" t="s">
        <v>106</v>
      </c>
      <c r="AJ8" s="47" t="s">
        <v>208</v>
      </c>
      <c r="AK8" s="44"/>
    </row>
    <row r="9" spans="1:38">
      <c r="A9" s="2" t="str">
        <f t="shared" si="0"/>
        <v>createAndConfirmAdvanceBookingPerishable_FRESH_Fresh2Temperaturecontrolledbetween2Cto8C_Domestic</v>
      </c>
      <c r="B9" s="44" t="s">
        <v>47</v>
      </c>
      <c r="C9" s="2" t="s">
        <v>190</v>
      </c>
      <c r="D9" s="46" t="s">
        <v>125</v>
      </c>
      <c r="E9" s="44" t="s">
        <v>124</v>
      </c>
      <c r="F9" s="44" t="b">
        <v>1</v>
      </c>
      <c r="G9" s="44" t="s">
        <v>35</v>
      </c>
      <c r="H9" s="44" t="s">
        <v>143</v>
      </c>
      <c r="I9" s="44" t="s">
        <v>142</v>
      </c>
      <c r="J9" s="2" t="s">
        <v>115</v>
      </c>
      <c r="K9" s="44" t="s">
        <v>304</v>
      </c>
      <c r="L9" s="44">
        <v>10</v>
      </c>
      <c r="M9" s="44" t="s">
        <v>145</v>
      </c>
      <c r="N9" s="44">
        <v>1</v>
      </c>
      <c r="O9" s="44">
        <v>10</v>
      </c>
      <c r="P9" s="44">
        <v>10</v>
      </c>
      <c r="Q9" s="44">
        <v>10</v>
      </c>
      <c r="R9" s="44" t="s">
        <v>152</v>
      </c>
      <c r="S9" s="44" t="s">
        <v>19</v>
      </c>
      <c r="T9" s="44" t="s">
        <v>20</v>
      </c>
      <c r="U9" s="44" t="s">
        <v>20</v>
      </c>
      <c r="V9" s="44" t="s">
        <v>20</v>
      </c>
      <c r="W9" s="44">
        <v>2</v>
      </c>
      <c r="X9" s="44" t="s">
        <v>20</v>
      </c>
      <c r="Y9" s="44" t="s">
        <v>35</v>
      </c>
      <c r="Z9" s="47" t="s">
        <v>23</v>
      </c>
      <c r="AA9" s="44" t="s">
        <v>21</v>
      </c>
      <c r="AB9" s="44" t="s">
        <v>22</v>
      </c>
      <c r="AC9" s="44" t="s">
        <v>35</v>
      </c>
      <c r="AD9" s="44" t="s">
        <v>158</v>
      </c>
      <c r="AE9" s="44" t="s">
        <v>159</v>
      </c>
      <c r="AF9" s="44" t="s">
        <v>160</v>
      </c>
      <c r="AG9" s="44" t="s">
        <v>161</v>
      </c>
      <c r="AH9" s="44">
        <v>55055</v>
      </c>
      <c r="AI9" s="47" t="s">
        <v>106</v>
      </c>
      <c r="AJ9" s="47" t="s">
        <v>208</v>
      </c>
      <c r="AK9" s="44"/>
    </row>
    <row r="10" spans="1:38">
      <c r="A10" s="2" t="str">
        <f t="shared" si="0"/>
        <v>createAndConfirmAdvanceBookingPerishable_DASH_Fresh3Flowersbetween2Cto25C_Domestic</v>
      </c>
      <c r="B10" s="44" t="s">
        <v>47</v>
      </c>
      <c r="C10" s="2" t="s">
        <v>191</v>
      </c>
      <c r="D10" s="46" t="s">
        <v>125</v>
      </c>
      <c r="E10" s="44" t="s">
        <v>124</v>
      </c>
      <c r="F10" s="44" t="b">
        <v>1</v>
      </c>
      <c r="G10" s="44" t="s">
        <v>35</v>
      </c>
      <c r="H10" s="44" t="s">
        <v>143</v>
      </c>
      <c r="I10" s="44" t="s">
        <v>164</v>
      </c>
      <c r="J10" s="2" t="s">
        <v>116</v>
      </c>
      <c r="K10" s="44" t="s">
        <v>304</v>
      </c>
      <c r="L10" s="44">
        <v>10</v>
      </c>
      <c r="M10" s="44" t="s">
        <v>145</v>
      </c>
      <c r="N10" s="44">
        <v>1</v>
      </c>
      <c r="O10" s="44">
        <v>10</v>
      </c>
      <c r="P10" s="44">
        <v>10</v>
      </c>
      <c r="Q10" s="44">
        <v>10</v>
      </c>
      <c r="R10" s="44" t="s">
        <v>152</v>
      </c>
      <c r="S10" s="44" t="s">
        <v>19</v>
      </c>
      <c r="T10" s="44" t="s">
        <v>20</v>
      </c>
      <c r="U10" s="44" t="s">
        <v>20</v>
      </c>
      <c r="V10" s="44" t="s">
        <v>20</v>
      </c>
      <c r="W10" s="44">
        <v>2</v>
      </c>
      <c r="X10" s="44" t="s">
        <v>20</v>
      </c>
      <c r="Y10" s="44" t="s">
        <v>35</v>
      </c>
      <c r="Z10" s="47" t="s">
        <v>23</v>
      </c>
      <c r="AA10" s="44" t="s">
        <v>21</v>
      </c>
      <c r="AB10" s="44" t="s">
        <v>22</v>
      </c>
      <c r="AC10" s="44" t="s">
        <v>35</v>
      </c>
      <c r="AD10" s="44" t="s">
        <v>158</v>
      </c>
      <c r="AE10" s="44" t="s">
        <v>159</v>
      </c>
      <c r="AF10" s="44" t="s">
        <v>160</v>
      </c>
      <c r="AG10" s="44" t="s">
        <v>161</v>
      </c>
      <c r="AH10" s="44">
        <v>55055</v>
      </c>
      <c r="AI10" s="47" t="s">
        <v>106</v>
      </c>
      <c r="AJ10" s="47" t="s">
        <v>208</v>
      </c>
      <c r="AK10" s="44"/>
    </row>
    <row r="11" spans="1:38">
      <c r="A11" s="2" t="str">
        <f t="shared" si="0"/>
        <v>createAndConfirmAdvanceBookingPerishable_DHV_Fresh3Foodstuffsbetween2Cto25C_Domestic</v>
      </c>
      <c r="B11" s="44" t="s">
        <v>47</v>
      </c>
      <c r="C11" s="2" t="s">
        <v>166</v>
      </c>
      <c r="D11" s="46" t="s">
        <v>125</v>
      </c>
      <c r="E11" s="44" t="s">
        <v>124</v>
      </c>
      <c r="F11" s="44" t="b">
        <v>1</v>
      </c>
      <c r="G11" s="44" t="s">
        <v>35</v>
      </c>
      <c r="H11" s="44" t="s">
        <v>142</v>
      </c>
      <c r="I11" s="44" t="s">
        <v>165</v>
      </c>
      <c r="J11" s="2" t="s">
        <v>69</v>
      </c>
      <c r="K11" s="44" t="s">
        <v>304</v>
      </c>
      <c r="L11" s="44">
        <v>10</v>
      </c>
      <c r="M11" s="44" t="s">
        <v>145</v>
      </c>
      <c r="N11" s="44">
        <v>1</v>
      </c>
      <c r="O11" s="44">
        <v>10</v>
      </c>
      <c r="P11" s="44">
        <v>10</v>
      </c>
      <c r="Q11" s="44">
        <v>10</v>
      </c>
      <c r="R11" s="44" t="s">
        <v>152</v>
      </c>
      <c r="S11" s="44" t="s">
        <v>19</v>
      </c>
      <c r="T11" s="44" t="s">
        <v>20</v>
      </c>
      <c r="U11" s="44" t="s">
        <v>20</v>
      </c>
      <c r="V11" s="44" t="s">
        <v>20</v>
      </c>
      <c r="W11" s="44">
        <v>2</v>
      </c>
      <c r="X11" s="44" t="s">
        <v>20</v>
      </c>
      <c r="Y11" s="44" t="s">
        <v>35</v>
      </c>
      <c r="Z11" s="47" t="s">
        <v>23</v>
      </c>
      <c r="AA11" s="44" t="s">
        <v>21</v>
      </c>
      <c r="AB11" s="44" t="s">
        <v>22</v>
      </c>
      <c r="AC11" s="44" t="s">
        <v>35</v>
      </c>
      <c r="AD11" s="44" t="s">
        <v>158</v>
      </c>
      <c r="AE11" s="44" t="s">
        <v>159</v>
      </c>
      <c r="AF11" s="44" t="s">
        <v>160</v>
      </c>
      <c r="AG11" s="44" t="s">
        <v>161</v>
      </c>
      <c r="AH11" s="44">
        <v>55055</v>
      </c>
      <c r="AI11" s="47" t="s">
        <v>106</v>
      </c>
      <c r="AJ11" s="47" t="s">
        <v>208</v>
      </c>
      <c r="AK11" s="44"/>
    </row>
    <row r="12" spans="1:38">
      <c r="A12" s="2" t="str">
        <f t="shared" si="0"/>
        <v>createAndConfirmAdvanceBookingPerishable_DMD_Fresh3Seafoodbetween2Cto25C_Domestic</v>
      </c>
      <c r="B12" s="44" t="s">
        <v>47</v>
      </c>
      <c r="C12" s="2" t="s">
        <v>163</v>
      </c>
      <c r="D12" s="46" t="s">
        <v>125</v>
      </c>
      <c r="E12" s="44" t="s">
        <v>124</v>
      </c>
      <c r="F12" s="44" t="b">
        <v>1</v>
      </c>
      <c r="G12" s="44" t="s">
        <v>35</v>
      </c>
      <c r="H12" s="44" t="s">
        <v>143</v>
      </c>
      <c r="I12" s="44" t="s">
        <v>142</v>
      </c>
      <c r="J12" s="2" t="s">
        <v>117</v>
      </c>
      <c r="K12" s="44" t="s">
        <v>304</v>
      </c>
      <c r="L12" s="44">
        <v>10</v>
      </c>
      <c r="M12" s="44" t="s">
        <v>145</v>
      </c>
      <c r="N12" s="44">
        <v>1</v>
      </c>
      <c r="O12" s="44">
        <v>10</v>
      </c>
      <c r="P12" s="44">
        <v>10</v>
      </c>
      <c r="Q12" s="44">
        <v>10</v>
      </c>
      <c r="R12" s="44" t="s">
        <v>152</v>
      </c>
      <c r="S12" s="44" t="s">
        <v>19</v>
      </c>
      <c r="T12" s="44" t="s">
        <v>20</v>
      </c>
      <c r="U12" s="44" t="s">
        <v>20</v>
      </c>
      <c r="V12" s="44" t="s">
        <v>20</v>
      </c>
      <c r="W12" s="44">
        <v>2</v>
      </c>
      <c r="X12" s="44" t="s">
        <v>20</v>
      </c>
      <c r="Y12" s="44" t="s">
        <v>35</v>
      </c>
      <c r="Z12" s="47" t="s">
        <v>23</v>
      </c>
      <c r="AA12" s="44" t="s">
        <v>21</v>
      </c>
      <c r="AB12" s="44" t="s">
        <v>22</v>
      </c>
      <c r="AC12" s="44" t="s">
        <v>35</v>
      </c>
      <c r="AD12" s="44" t="s">
        <v>158</v>
      </c>
      <c r="AE12" s="44" t="s">
        <v>159</v>
      </c>
      <c r="AF12" s="44" t="s">
        <v>160</v>
      </c>
      <c r="AG12" s="44" t="s">
        <v>161</v>
      </c>
      <c r="AH12" s="44">
        <v>55055</v>
      </c>
      <c r="AI12" s="47" t="s">
        <v>106</v>
      </c>
      <c r="AJ12" s="47" t="s">
        <v>208</v>
      </c>
      <c r="AK12" s="44"/>
    </row>
    <row r="13" spans="1:38">
      <c r="A13" s="2" t="str">
        <f t="shared" si="0"/>
        <v>createAndConfirmAdvanceBookingPerishable_FRESH_Fresh1Activecontainer_International</v>
      </c>
      <c r="B13" s="44" t="s">
        <v>47</v>
      </c>
      <c r="C13" s="2" t="s">
        <v>190</v>
      </c>
      <c r="D13" s="46" t="s">
        <v>125</v>
      </c>
      <c r="E13" s="44" t="s">
        <v>124</v>
      </c>
      <c r="F13" s="44" t="b">
        <v>1</v>
      </c>
      <c r="G13" s="44" t="s">
        <v>35</v>
      </c>
      <c r="H13" s="44" t="s">
        <v>142</v>
      </c>
      <c r="I13" s="44" t="s">
        <v>165</v>
      </c>
      <c r="J13" s="2" t="s">
        <v>57</v>
      </c>
      <c r="K13" s="44" t="s">
        <v>304</v>
      </c>
      <c r="L13" s="44">
        <v>10</v>
      </c>
      <c r="M13" s="44" t="s">
        <v>145</v>
      </c>
      <c r="N13" s="44">
        <v>1</v>
      </c>
      <c r="O13" s="44">
        <v>10</v>
      </c>
      <c r="P13" s="44">
        <v>10</v>
      </c>
      <c r="Q13" s="44">
        <v>10</v>
      </c>
      <c r="R13" s="44" t="s">
        <v>152</v>
      </c>
      <c r="S13" s="44" t="s">
        <v>19</v>
      </c>
      <c r="T13" s="44" t="s">
        <v>20</v>
      </c>
      <c r="U13" s="44" t="s">
        <v>20</v>
      </c>
      <c r="V13" s="44" t="s">
        <v>20</v>
      </c>
      <c r="W13" s="44">
        <v>2</v>
      </c>
      <c r="X13" s="44" t="s">
        <v>20</v>
      </c>
      <c r="Y13" s="44" t="s">
        <v>35</v>
      </c>
      <c r="Z13" s="47" t="s">
        <v>23</v>
      </c>
      <c r="AA13" s="44" t="s">
        <v>21</v>
      </c>
      <c r="AB13" s="44" t="s">
        <v>22</v>
      </c>
      <c r="AC13" s="44" t="s">
        <v>35</v>
      </c>
      <c r="AD13" s="44" t="s">
        <v>158</v>
      </c>
      <c r="AE13" s="44" t="s">
        <v>159</v>
      </c>
      <c r="AF13" s="44" t="s">
        <v>160</v>
      </c>
      <c r="AG13" s="44" t="s">
        <v>161</v>
      </c>
      <c r="AH13" s="44">
        <v>55055</v>
      </c>
      <c r="AI13" s="47" t="s">
        <v>266</v>
      </c>
      <c r="AJ13" s="47" t="s">
        <v>212</v>
      </c>
      <c r="AK13" s="44"/>
    </row>
    <row r="14" spans="1:38">
      <c r="A14" s="2" t="str">
        <f t="shared" si="0"/>
        <v>createAndConfirmAdvanceBookingPerishable_FRESH_Fresh2Temperaturecontrolledbetween2Cto8C_International</v>
      </c>
      <c r="B14" s="44" t="s">
        <v>47</v>
      </c>
      <c r="C14" s="2" t="s">
        <v>190</v>
      </c>
      <c r="D14" s="46" t="s">
        <v>125</v>
      </c>
      <c r="E14" s="44" t="s">
        <v>124</v>
      </c>
      <c r="F14" s="44" t="b">
        <v>1</v>
      </c>
      <c r="G14" s="44" t="s">
        <v>35</v>
      </c>
      <c r="H14" s="44" t="s">
        <v>143</v>
      </c>
      <c r="I14" s="44" t="s">
        <v>142</v>
      </c>
      <c r="J14" s="2" t="s">
        <v>115</v>
      </c>
      <c r="K14" s="44" t="s">
        <v>304</v>
      </c>
      <c r="L14" s="44">
        <v>10</v>
      </c>
      <c r="M14" s="44" t="s">
        <v>145</v>
      </c>
      <c r="N14" s="44">
        <v>1</v>
      </c>
      <c r="O14" s="44">
        <v>10</v>
      </c>
      <c r="P14" s="44">
        <v>10</v>
      </c>
      <c r="Q14" s="44">
        <v>10</v>
      </c>
      <c r="R14" s="44" t="s">
        <v>152</v>
      </c>
      <c r="S14" s="44" t="s">
        <v>19</v>
      </c>
      <c r="T14" s="44" t="s">
        <v>20</v>
      </c>
      <c r="U14" s="44" t="s">
        <v>20</v>
      </c>
      <c r="V14" s="44" t="s">
        <v>20</v>
      </c>
      <c r="W14" s="44">
        <v>2</v>
      </c>
      <c r="X14" s="44" t="s">
        <v>20</v>
      </c>
      <c r="Y14" s="44" t="s">
        <v>35</v>
      </c>
      <c r="Z14" s="47" t="s">
        <v>23</v>
      </c>
      <c r="AA14" s="44" t="s">
        <v>21</v>
      </c>
      <c r="AB14" s="44" t="s">
        <v>22</v>
      </c>
      <c r="AC14" s="44" t="s">
        <v>35</v>
      </c>
      <c r="AD14" s="44" t="s">
        <v>158</v>
      </c>
      <c r="AE14" s="44" t="s">
        <v>159</v>
      </c>
      <c r="AF14" s="44" t="s">
        <v>160</v>
      </c>
      <c r="AG14" s="44" t="s">
        <v>161</v>
      </c>
      <c r="AH14" s="44">
        <v>55055</v>
      </c>
      <c r="AI14" s="47" t="s">
        <v>266</v>
      </c>
      <c r="AJ14" s="47" t="s">
        <v>212</v>
      </c>
      <c r="AK14" s="44"/>
    </row>
    <row r="15" spans="1:38">
      <c r="A15" s="2" t="str">
        <f t="shared" si="0"/>
        <v>createAndConfirmAdvanceBookingPerishable_DASH_Fresh3Flowersbetween2Cto25C_International</v>
      </c>
      <c r="B15" s="44" t="s">
        <v>47</v>
      </c>
      <c r="C15" s="2" t="s">
        <v>191</v>
      </c>
      <c r="D15" s="46" t="s">
        <v>125</v>
      </c>
      <c r="E15" s="44" t="s">
        <v>124</v>
      </c>
      <c r="F15" s="44" t="b">
        <v>1</v>
      </c>
      <c r="G15" s="44" t="s">
        <v>35</v>
      </c>
      <c r="H15" s="44" t="s">
        <v>143</v>
      </c>
      <c r="I15" s="44" t="s">
        <v>164</v>
      </c>
      <c r="J15" s="2" t="s">
        <v>116</v>
      </c>
      <c r="K15" s="44" t="s">
        <v>304</v>
      </c>
      <c r="L15" s="44">
        <v>10</v>
      </c>
      <c r="M15" s="44" t="s">
        <v>145</v>
      </c>
      <c r="N15" s="44">
        <v>1</v>
      </c>
      <c r="O15" s="44">
        <v>10</v>
      </c>
      <c r="P15" s="44">
        <v>10</v>
      </c>
      <c r="Q15" s="44">
        <v>10</v>
      </c>
      <c r="R15" s="44" t="s">
        <v>152</v>
      </c>
      <c r="S15" s="44" t="s">
        <v>19</v>
      </c>
      <c r="T15" s="44" t="s">
        <v>20</v>
      </c>
      <c r="U15" s="44" t="s">
        <v>20</v>
      </c>
      <c r="V15" s="44" t="s">
        <v>20</v>
      </c>
      <c r="W15" s="44">
        <v>2</v>
      </c>
      <c r="X15" s="44" t="s">
        <v>20</v>
      </c>
      <c r="Y15" s="44" t="s">
        <v>35</v>
      </c>
      <c r="Z15" s="47" t="s">
        <v>23</v>
      </c>
      <c r="AA15" s="44" t="s">
        <v>21</v>
      </c>
      <c r="AB15" s="44" t="s">
        <v>22</v>
      </c>
      <c r="AC15" s="44" t="s">
        <v>35</v>
      </c>
      <c r="AD15" s="44" t="s">
        <v>158</v>
      </c>
      <c r="AE15" s="44" t="s">
        <v>159</v>
      </c>
      <c r="AF15" s="44" t="s">
        <v>160</v>
      </c>
      <c r="AG15" s="44" t="s">
        <v>161</v>
      </c>
      <c r="AH15" s="44">
        <v>55055</v>
      </c>
      <c r="AI15" s="47" t="s">
        <v>266</v>
      </c>
      <c r="AJ15" s="47" t="s">
        <v>212</v>
      </c>
      <c r="AK15" s="44"/>
    </row>
    <row r="16" spans="1:38">
      <c r="A16" s="2" t="str">
        <f t="shared" si="0"/>
        <v>createAndConfirmAdvanceBookingPerishable_DHV_Fresh3Foodstuffsbetween2Cto25C_International</v>
      </c>
      <c r="B16" s="44" t="s">
        <v>47</v>
      </c>
      <c r="C16" s="2" t="s">
        <v>166</v>
      </c>
      <c r="D16" s="46" t="s">
        <v>125</v>
      </c>
      <c r="E16" s="44" t="s">
        <v>124</v>
      </c>
      <c r="F16" s="44" t="b">
        <v>1</v>
      </c>
      <c r="G16" s="44" t="s">
        <v>35</v>
      </c>
      <c r="H16" s="44" t="s">
        <v>142</v>
      </c>
      <c r="I16" s="44" t="s">
        <v>165</v>
      </c>
      <c r="J16" s="2" t="s">
        <v>69</v>
      </c>
      <c r="K16" s="44" t="s">
        <v>304</v>
      </c>
      <c r="L16" s="44">
        <v>10</v>
      </c>
      <c r="M16" s="44" t="s">
        <v>145</v>
      </c>
      <c r="N16" s="44">
        <v>1</v>
      </c>
      <c r="O16" s="44">
        <v>10</v>
      </c>
      <c r="P16" s="44">
        <v>10</v>
      </c>
      <c r="Q16" s="44">
        <v>10</v>
      </c>
      <c r="R16" s="44" t="s">
        <v>152</v>
      </c>
      <c r="S16" s="44" t="s">
        <v>19</v>
      </c>
      <c r="T16" s="44" t="s">
        <v>20</v>
      </c>
      <c r="U16" s="44" t="s">
        <v>20</v>
      </c>
      <c r="V16" s="44" t="s">
        <v>20</v>
      </c>
      <c r="W16" s="44">
        <v>2</v>
      </c>
      <c r="X16" s="44" t="s">
        <v>20</v>
      </c>
      <c r="Y16" s="44" t="s">
        <v>35</v>
      </c>
      <c r="Z16" s="47" t="s">
        <v>23</v>
      </c>
      <c r="AA16" s="44" t="s">
        <v>21</v>
      </c>
      <c r="AB16" s="44" t="s">
        <v>22</v>
      </c>
      <c r="AC16" s="44" t="s">
        <v>35</v>
      </c>
      <c r="AD16" s="44" t="s">
        <v>158</v>
      </c>
      <c r="AE16" s="44" t="s">
        <v>159</v>
      </c>
      <c r="AF16" s="44" t="s">
        <v>160</v>
      </c>
      <c r="AG16" s="44" t="s">
        <v>161</v>
      </c>
      <c r="AH16" s="44">
        <v>55055</v>
      </c>
      <c r="AI16" s="47" t="s">
        <v>266</v>
      </c>
      <c r="AJ16" s="47" t="s">
        <v>212</v>
      </c>
      <c r="AK16" s="44"/>
    </row>
    <row r="17" spans="1:37">
      <c r="A17" s="2" t="str">
        <f t="shared" si="0"/>
        <v>createAndConfirmAdvanceBookingPerishable_DMD_Fresh3Seafoodbetween2Cto25C_International</v>
      </c>
      <c r="B17" s="44" t="s">
        <v>47</v>
      </c>
      <c r="C17" s="2" t="s">
        <v>163</v>
      </c>
      <c r="D17" s="46" t="s">
        <v>125</v>
      </c>
      <c r="E17" s="44" t="s">
        <v>124</v>
      </c>
      <c r="F17" s="44" t="b">
        <v>1</v>
      </c>
      <c r="G17" s="44" t="s">
        <v>35</v>
      </c>
      <c r="H17" s="44" t="s">
        <v>143</v>
      </c>
      <c r="I17" s="44" t="s">
        <v>142</v>
      </c>
      <c r="J17" s="2" t="s">
        <v>117</v>
      </c>
      <c r="K17" s="44" t="s">
        <v>304</v>
      </c>
      <c r="L17" s="44">
        <v>10</v>
      </c>
      <c r="M17" s="44" t="s">
        <v>145</v>
      </c>
      <c r="N17" s="44">
        <v>1</v>
      </c>
      <c r="O17" s="44">
        <v>10</v>
      </c>
      <c r="P17" s="44">
        <v>10</v>
      </c>
      <c r="Q17" s="44">
        <v>10</v>
      </c>
      <c r="R17" s="44" t="s">
        <v>152</v>
      </c>
      <c r="S17" s="44" t="s">
        <v>19</v>
      </c>
      <c r="T17" s="44" t="s">
        <v>20</v>
      </c>
      <c r="U17" s="44" t="s">
        <v>20</v>
      </c>
      <c r="V17" s="44" t="s">
        <v>20</v>
      </c>
      <c r="W17" s="44">
        <v>2</v>
      </c>
      <c r="X17" s="44" t="s">
        <v>20</v>
      </c>
      <c r="Y17" s="44" t="s">
        <v>35</v>
      </c>
      <c r="Z17" s="47" t="s">
        <v>23</v>
      </c>
      <c r="AA17" s="44" t="s">
        <v>21</v>
      </c>
      <c r="AB17" s="44" t="s">
        <v>22</v>
      </c>
      <c r="AC17" s="44" t="s">
        <v>35</v>
      </c>
      <c r="AD17" s="44" t="s">
        <v>158</v>
      </c>
      <c r="AE17" s="44" t="s">
        <v>159</v>
      </c>
      <c r="AF17" s="44" t="s">
        <v>160</v>
      </c>
      <c r="AG17" s="44" t="s">
        <v>161</v>
      </c>
      <c r="AH17" s="44">
        <v>55055</v>
      </c>
      <c r="AI17" s="47" t="s">
        <v>266</v>
      </c>
      <c r="AJ17" s="47" t="s">
        <v>212</v>
      </c>
      <c r="AK17" s="44"/>
    </row>
    <row r="18" spans="1:37">
      <c r="A18" s="2" t="str">
        <f t="shared" si="0"/>
        <v>createAndConfirmAdvanceBookingPharmaceuticals_PHARMA_Pharma1ActiveContainer_Domestic</v>
      </c>
      <c r="B18" s="2" t="s">
        <v>58</v>
      </c>
      <c r="C18" s="2" t="s">
        <v>176</v>
      </c>
      <c r="D18" s="46" t="s">
        <v>125</v>
      </c>
      <c r="E18" s="44" t="s">
        <v>124</v>
      </c>
      <c r="F18" s="44" t="b">
        <v>1</v>
      </c>
      <c r="G18" s="44" t="s">
        <v>35</v>
      </c>
      <c r="H18" s="44" t="s">
        <v>143</v>
      </c>
      <c r="I18" s="44" t="s">
        <v>142</v>
      </c>
      <c r="J18" s="2" t="s">
        <v>54</v>
      </c>
      <c r="K18" s="44" t="s">
        <v>298</v>
      </c>
      <c r="L18" s="44">
        <v>10</v>
      </c>
      <c r="M18" s="44" t="s">
        <v>145</v>
      </c>
      <c r="N18" s="44">
        <v>1</v>
      </c>
      <c r="O18" s="44">
        <v>10</v>
      </c>
      <c r="P18" s="44">
        <v>10</v>
      </c>
      <c r="Q18" s="44">
        <v>10</v>
      </c>
      <c r="R18" s="44" t="s">
        <v>152</v>
      </c>
      <c r="S18" s="44" t="s">
        <v>19</v>
      </c>
      <c r="T18" s="44" t="s">
        <v>20</v>
      </c>
      <c r="U18" s="44" t="s">
        <v>20</v>
      </c>
      <c r="V18" s="44" t="s">
        <v>20</v>
      </c>
      <c r="W18" s="44">
        <v>2</v>
      </c>
      <c r="X18" s="44" t="s">
        <v>20</v>
      </c>
      <c r="Y18" s="44" t="s">
        <v>35</v>
      </c>
      <c r="Z18" s="47" t="s">
        <v>23</v>
      </c>
      <c r="AA18" s="44" t="s">
        <v>21</v>
      </c>
      <c r="AB18" s="44" t="s">
        <v>22</v>
      </c>
      <c r="AC18" s="44" t="s">
        <v>35</v>
      </c>
      <c r="AD18" s="44" t="s">
        <v>158</v>
      </c>
      <c r="AE18" s="44" t="s">
        <v>159</v>
      </c>
      <c r="AF18" s="44" t="s">
        <v>160</v>
      </c>
      <c r="AG18" s="44" t="s">
        <v>161</v>
      </c>
      <c r="AH18" s="44">
        <v>55055</v>
      </c>
      <c r="AI18" s="47" t="s">
        <v>106</v>
      </c>
      <c r="AJ18" s="47" t="s">
        <v>208</v>
      </c>
      <c r="AK18" s="44"/>
    </row>
    <row r="19" spans="1:37">
      <c r="A19" s="2" t="str">
        <f t="shared" si="0"/>
        <v>createAndConfirmAdvanceBookingPharmaceuticals_PHARMA_Pharma1PassiveContainer_Domestic</v>
      </c>
      <c r="B19" s="2" t="s">
        <v>58</v>
      </c>
      <c r="C19" s="2" t="s">
        <v>176</v>
      </c>
      <c r="D19" s="46" t="s">
        <v>125</v>
      </c>
      <c r="E19" s="44" t="s">
        <v>124</v>
      </c>
      <c r="F19" s="44" t="b">
        <v>1</v>
      </c>
      <c r="G19" s="44" t="s">
        <v>35</v>
      </c>
      <c r="H19" s="44" t="s">
        <v>143</v>
      </c>
      <c r="I19" s="44" t="s">
        <v>142</v>
      </c>
      <c r="J19" s="2" t="s">
        <v>175</v>
      </c>
      <c r="K19" s="44" t="s">
        <v>298</v>
      </c>
      <c r="L19" s="44">
        <v>10</v>
      </c>
      <c r="M19" s="44" t="s">
        <v>145</v>
      </c>
      <c r="N19" s="44">
        <v>1</v>
      </c>
      <c r="O19" s="44">
        <v>10</v>
      </c>
      <c r="P19" s="44">
        <v>10</v>
      </c>
      <c r="Q19" s="44">
        <v>10</v>
      </c>
      <c r="R19" s="44" t="s">
        <v>152</v>
      </c>
      <c r="S19" s="44" t="s">
        <v>19</v>
      </c>
      <c r="T19" s="44" t="s">
        <v>20</v>
      </c>
      <c r="U19" s="44" t="s">
        <v>20</v>
      </c>
      <c r="V19" s="44" t="s">
        <v>20</v>
      </c>
      <c r="W19" s="44">
        <v>2</v>
      </c>
      <c r="X19" s="44" t="s">
        <v>20</v>
      </c>
      <c r="Y19" s="44" t="s">
        <v>35</v>
      </c>
      <c r="Z19" s="47" t="s">
        <v>23</v>
      </c>
      <c r="AA19" s="44" t="s">
        <v>21</v>
      </c>
      <c r="AB19" s="44" t="s">
        <v>22</v>
      </c>
      <c r="AC19" s="44" t="s">
        <v>35</v>
      </c>
      <c r="AD19" s="44" t="s">
        <v>158</v>
      </c>
      <c r="AE19" s="44" t="s">
        <v>159</v>
      </c>
      <c r="AF19" s="44" t="s">
        <v>160</v>
      </c>
      <c r="AG19" s="44" t="s">
        <v>161</v>
      </c>
      <c r="AH19" s="44">
        <v>55055</v>
      </c>
      <c r="AI19" s="47" t="s">
        <v>106</v>
      </c>
      <c r="AJ19" s="47" t="s">
        <v>208</v>
      </c>
      <c r="AK19" s="44"/>
    </row>
    <row r="20" spans="1:37">
      <c r="A20" s="2" t="str">
        <f t="shared" si="0"/>
        <v>createAndConfirmAdvanceBookingPharmaceuticals_PHARMA_Pharma2Temperaturecontrolledbetween2Cto8C_Domestic</v>
      </c>
      <c r="B20" s="2" t="s">
        <v>58</v>
      </c>
      <c r="C20" s="2" t="s">
        <v>176</v>
      </c>
      <c r="D20" s="46" t="s">
        <v>125</v>
      </c>
      <c r="E20" s="44" t="s">
        <v>124</v>
      </c>
      <c r="F20" s="44" t="b">
        <v>1</v>
      </c>
      <c r="G20" s="44" t="s">
        <v>35</v>
      </c>
      <c r="H20" s="44" t="s">
        <v>143</v>
      </c>
      <c r="I20" s="44" t="s">
        <v>142</v>
      </c>
      <c r="J20" s="2" t="s">
        <v>63</v>
      </c>
      <c r="K20" s="44" t="s">
        <v>298</v>
      </c>
      <c r="L20" s="44">
        <v>10</v>
      </c>
      <c r="M20" s="44" t="s">
        <v>145</v>
      </c>
      <c r="N20" s="44">
        <v>1</v>
      </c>
      <c r="O20" s="44">
        <v>10</v>
      </c>
      <c r="P20" s="44">
        <v>10</v>
      </c>
      <c r="Q20" s="44">
        <v>10</v>
      </c>
      <c r="R20" s="44" t="s">
        <v>152</v>
      </c>
      <c r="S20" s="44" t="s">
        <v>19</v>
      </c>
      <c r="T20" s="44" t="s">
        <v>20</v>
      </c>
      <c r="U20" s="44" t="s">
        <v>20</v>
      </c>
      <c r="V20" s="44" t="s">
        <v>20</v>
      </c>
      <c r="W20" s="44">
        <v>2</v>
      </c>
      <c r="X20" s="44" t="s">
        <v>20</v>
      </c>
      <c r="Y20" s="44" t="s">
        <v>35</v>
      </c>
      <c r="Z20" s="47" t="s">
        <v>23</v>
      </c>
      <c r="AA20" s="44" t="s">
        <v>21</v>
      </c>
      <c r="AB20" s="44" t="s">
        <v>22</v>
      </c>
      <c r="AC20" s="44" t="s">
        <v>35</v>
      </c>
      <c r="AD20" s="44" t="s">
        <v>158</v>
      </c>
      <c r="AE20" s="44" t="s">
        <v>159</v>
      </c>
      <c r="AF20" s="44" t="s">
        <v>160</v>
      </c>
      <c r="AG20" s="44" t="s">
        <v>161</v>
      </c>
      <c r="AH20" s="44">
        <v>55055</v>
      </c>
      <c r="AI20" s="47" t="s">
        <v>106</v>
      </c>
      <c r="AJ20" s="47" t="s">
        <v>208</v>
      </c>
      <c r="AK20" s="44"/>
    </row>
    <row r="21" spans="1:37">
      <c r="A21" s="2" t="str">
        <f t="shared" si="0"/>
        <v>createAndConfirmAdvanceBookingPharmaceuticals_PHARMA_Pharma3Temperaturecontrolledbetween2Cto25C_Domestic</v>
      </c>
      <c r="B21" s="2" t="s">
        <v>58</v>
      </c>
      <c r="C21" s="2" t="s">
        <v>176</v>
      </c>
      <c r="D21" s="46" t="s">
        <v>125</v>
      </c>
      <c r="E21" s="44" t="s">
        <v>124</v>
      </c>
      <c r="F21" s="44" t="b">
        <v>1</v>
      </c>
      <c r="G21" s="44" t="s">
        <v>35</v>
      </c>
      <c r="H21" s="44" t="s">
        <v>143</v>
      </c>
      <c r="I21" s="44" t="s">
        <v>142</v>
      </c>
      <c r="J21" s="2" t="s">
        <v>193</v>
      </c>
      <c r="K21" s="44" t="s">
        <v>298</v>
      </c>
      <c r="L21" s="44">
        <v>10</v>
      </c>
      <c r="M21" s="44" t="s">
        <v>145</v>
      </c>
      <c r="N21" s="44">
        <v>1</v>
      </c>
      <c r="O21" s="44">
        <v>10</v>
      </c>
      <c r="P21" s="44">
        <v>10</v>
      </c>
      <c r="Q21" s="44">
        <v>10</v>
      </c>
      <c r="R21" s="44" t="s">
        <v>152</v>
      </c>
      <c r="S21" s="44" t="s">
        <v>19</v>
      </c>
      <c r="T21" s="44" t="s">
        <v>20</v>
      </c>
      <c r="U21" s="44" t="s">
        <v>20</v>
      </c>
      <c r="V21" s="44" t="s">
        <v>20</v>
      </c>
      <c r="W21" s="44">
        <v>2</v>
      </c>
      <c r="X21" s="44" t="s">
        <v>20</v>
      </c>
      <c r="Y21" s="44" t="s">
        <v>35</v>
      </c>
      <c r="Z21" s="47" t="s">
        <v>23</v>
      </c>
      <c r="AA21" s="44" t="s">
        <v>21</v>
      </c>
      <c r="AB21" s="44" t="s">
        <v>22</v>
      </c>
      <c r="AC21" s="44" t="s">
        <v>35</v>
      </c>
      <c r="AD21" s="44" t="s">
        <v>158</v>
      </c>
      <c r="AE21" s="44" t="s">
        <v>159</v>
      </c>
      <c r="AF21" s="44" t="s">
        <v>160</v>
      </c>
      <c r="AG21" s="44" t="s">
        <v>161</v>
      </c>
      <c r="AH21" s="44">
        <v>55055</v>
      </c>
      <c r="AI21" s="47" t="s">
        <v>106</v>
      </c>
      <c r="AJ21" s="47" t="s">
        <v>208</v>
      </c>
      <c r="AK21" s="44"/>
    </row>
    <row r="22" spans="1:37">
      <c r="A22" s="2" t="str">
        <f t="shared" si="0"/>
        <v>createAndConfirmAdvanceBookingPharmaceuticals_PHARMA_Pharma4Temperaturecontrolledbetween15Cto25C_Domestic</v>
      </c>
      <c r="B22" s="2" t="s">
        <v>58</v>
      </c>
      <c r="C22" s="2" t="s">
        <v>176</v>
      </c>
      <c r="D22" s="46" t="s">
        <v>125</v>
      </c>
      <c r="E22" s="44" t="s">
        <v>124</v>
      </c>
      <c r="F22" s="44" t="b">
        <v>1</v>
      </c>
      <c r="G22" s="44" t="s">
        <v>35</v>
      </c>
      <c r="H22" s="44" t="s">
        <v>143</v>
      </c>
      <c r="I22" s="44" t="s">
        <v>142</v>
      </c>
      <c r="J22" s="2" t="s">
        <v>194</v>
      </c>
      <c r="K22" s="44" t="s">
        <v>298</v>
      </c>
      <c r="L22" s="44">
        <v>10</v>
      </c>
      <c r="M22" s="44" t="s">
        <v>145</v>
      </c>
      <c r="N22" s="44">
        <v>1</v>
      </c>
      <c r="O22" s="44">
        <v>10</v>
      </c>
      <c r="P22" s="44">
        <v>10</v>
      </c>
      <c r="Q22" s="44">
        <v>10</v>
      </c>
      <c r="R22" s="44" t="s">
        <v>152</v>
      </c>
      <c r="S22" s="44" t="s">
        <v>19</v>
      </c>
      <c r="T22" s="44" t="s">
        <v>20</v>
      </c>
      <c r="U22" s="44" t="s">
        <v>20</v>
      </c>
      <c r="V22" s="44" t="s">
        <v>20</v>
      </c>
      <c r="W22" s="44">
        <v>2</v>
      </c>
      <c r="X22" s="44" t="s">
        <v>20</v>
      </c>
      <c r="Y22" s="44" t="s">
        <v>35</v>
      </c>
      <c r="Z22" s="47" t="s">
        <v>23</v>
      </c>
      <c r="AA22" s="44" t="s">
        <v>21</v>
      </c>
      <c r="AB22" s="44" t="s">
        <v>22</v>
      </c>
      <c r="AC22" s="44" t="s">
        <v>35</v>
      </c>
      <c r="AD22" s="44" t="s">
        <v>158</v>
      </c>
      <c r="AE22" s="44" t="s">
        <v>159</v>
      </c>
      <c r="AF22" s="44" t="s">
        <v>160</v>
      </c>
      <c r="AG22" s="44" t="s">
        <v>161</v>
      </c>
      <c r="AH22" s="44">
        <v>55055</v>
      </c>
      <c r="AI22" s="47" t="s">
        <v>106</v>
      </c>
      <c r="AJ22" s="47" t="s">
        <v>208</v>
      </c>
      <c r="AK22" s="44"/>
    </row>
    <row r="23" spans="1:37">
      <c r="A23" s="2" t="str">
        <f t="shared" si="0"/>
        <v>createAndConfirmAdvanceBookingPharmaceuticals_PHARMA_Pharma1ActiveContainer_International</v>
      </c>
      <c r="B23" s="2" t="s">
        <v>58</v>
      </c>
      <c r="C23" s="2" t="s">
        <v>176</v>
      </c>
      <c r="D23" s="46" t="s">
        <v>125</v>
      </c>
      <c r="E23" s="44" t="s">
        <v>124</v>
      </c>
      <c r="F23" s="44" t="b">
        <v>1</v>
      </c>
      <c r="G23" s="44" t="s">
        <v>35</v>
      </c>
      <c r="H23" s="44" t="s">
        <v>143</v>
      </c>
      <c r="I23" s="44" t="s">
        <v>142</v>
      </c>
      <c r="J23" s="2" t="s">
        <v>54</v>
      </c>
      <c r="K23" s="44" t="s">
        <v>298</v>
      </c>
      <c r="L23" s="44">
        <v>10</v>
      </c>
      <c r="M23" s="44" t="s">
        <v>145</v>
      </c>
      <c r="N23" s="44">
        <v>1</v>
      </c>
      <c r="O23" s="44">
        <v>10</v>
      </c>
      <c r="P23" s="44">
        <v>10</v>
      </c>
      <c r="Q23" s="44">
        <v>10</v>
      </c>
      <c r="R23" s="44" t="s">
        <v>152</v>
      </c>
      <c r="S23" s="44" t="s">
        <v>19</v>
      </c>
      <c r="T23" s="44" t="s">
        <v>20</v>
      </c>
      <c r="U23" s="44" t="s">
        <v>20</v>
      </c>
      <c r="V23" s="44" t="s">
        <v>20</v>
      </c>
      <c r="W23" s="44">
        <v>2</v>
      </c>
      <c r="X23" s="44" t="s">
        <v>20</v>
      </c>
      <c r="Y23" s="44" t="s">
        <v>35</v>
      </c>
      <c r="Z23" s="47" t="s">
        <v>23</v>
      </c>
      <c r="AA23" s="44" t="s">
        <v>21</v>
      </c>
      <c r="AB23" s="44" t="s">
        <v>22</v>
      </c>
      <c r="AC23" s="44" t="s">
        <v>35</v>
      </c>
      <c r="AD23" s="44" t="s">
        <v>158</v>
      </c>
      <c r="AE23" s="44" t="s">
        <v>159</v>
      </c>
      <c r="AF23" s="44" t="s">
        <v>160</v>
      </c>
      <c r="AG23" s="44" t="s">
        <v>161</v>
      </c>
      <c r="AH23" s="44">
        <v>55055</v>
      </c>
      <c r="AI23" s="47" t="s">
        <v>266</v>
      </c>
      <c r="AJ23" s="47" t="s">
        <v>212</v>
      </c>
      <c r="AK23" s="44"/>
    </row>
    <row r="24" spans="1:37">
      <c r="A24" s="2" t="str">
        <f t="shared" si="0"/>
        <v>createAndConfirmAdvanceBookingPharmaceuticals_PHARMA_Pharma1PassiveContainer_International</v>
      </c>
      <c r="B24" s="2" t="s">
        <v>58</v>
      </c>
      <c r="C24" s="2" t="s">
        <v>176</v>
      </c>
      <c r="D24" s="46" t="s">
        <v>125</v>
      </c>
      <c r="E24" s="44" t="s">
        <v>124</v>
      </c>
      <c r="F24" s="44" t="b">
        <v>1</v>
      </c>
      <c r="G24" s="44" t="s">
        <v>35</v>
      </c>
      <c r="H24" s="44" t="s">
        <v>143</v>
      </c>
      <c r="I24" s="44" t="s">
        <v>142</v>
      </c>
      <c r="J24" s="2" t="s">
        <v>175</v>
      </c>
      <c r="K24" s="44" t="s">
        <v>298</v>
      </c>
      <c r="L24" s="44">
        <v>10</v>
      </c>
      <c r="M24" s="44" t="s">
        <v>145</v>
      </c>
      <c r="N24" s="44">
        <v>1</v>
      </c>
      <c r="O24" s="44">
        <v>10</v>
      </c>
      <c r="P24" s="44">
        <v>10</v>
      </c>
      <c r="Q24" s="44">
        <v>10</v>
      </c>
      <c r="R24" s="44" t="s">
        <v>152</v>
      </c>
      <c r="S24" s="44" t="s">
        <v>19</v>
      </c>
      <c r="T24" s="44" t="s">
        <v>20</v>
      </c>
      <c r="U24" s="44" t="s">
        <v>20</v>
      </c>
      <c r="V24" s="44" t="s">
        <v>20</v>
      </c>
      <c r="W24" s="44">
        <v>2</v>
      </c>
      <c r="X24" s="44" t="s">
        <v>20</v>
      </c>
      <c r="Y24" s="44" t="s">
        <v>35</v>
      </c>
      <c r="Z24" s="47" t="s">
        <v>23</v>
      </c>
      <c r="AA24" s="44" t="s">
        <v>21</v>
      </c>
      <c r="AB24" s="44" t="s">
        <v>22</v>
      </c>
      <c r="AC24" s="44" t="s">
        <v>35</v>
      </c>
      <c r="AD24" s="44" t="s">
        <v>158</v>
      </c>
      <c r="AE24" s="44" t="s">
        <v>159</v>
      </c>
      <c r="AF24" s="44" t="s">
        <v>160</v>
      </c>
      <c r="AG24" s="44" t="s">
        <v>161</v>
      </c>
      <c r="AH24" s="44">
        <v>55055</v>
      </c>
      <c r="AI24" s="47" t="s">
        <v>266</v>
      </c>
      <c r="AJ24" s="47" t="s">
        <v>212</v>
      </c>
      <c r="AK24" s="44"/>
    </row>
    <row r="25" spans="1:37">
      <c r="A25" s="2" t="str">
        <f t="shared" si="0"/>
        <v>createAndConfirmAdvanceBookingPharmaceuticals_PHARMA_Pharma2Temperaturecontrolledbetween2Cto8C_International</v>
      </c>
      <c r="B25" s="2" t="s">
        <v>58</v>
      </c>
      <c r="C25" s="2" t="s">
        <v>176</v>
      </c>
      <c r="D25" s="46" t="s">
        <v>125</v>
      </c>
      <c r="E25" s="44" t="s">
        <v>124</v>
      </c>
      <c r="F25" s="44" t="b">
        <v>1</v>
      </c>
      <c r="G25" s="44" t="s">
        <v>35</v>
      </c>
      <c r="H25" s="44" t="s">
        <v>143</v>
      </c>
      <c r="I25" s="44" t="s">
        <v>142</v>
      </c>
      <c r="J25" s="2" t="s">
        <v>63</v>
      </c>
      <c r="K25" s="44" t="s">
        <v>298</v>
      </c>
      <c r="L25" s="44">
        <v>10</v>
      </c>
      <c r="M25" s="44" t="s">
        <v>145</v>
      </c>
      <c r="N25" s="44">
        <v>1</v>
      </c>
      <c r="O25" s="44">
        <v>10</v>
      </c>
      <c r="P25" s="44">
        <v>10</v>
      </c>
      <c r="Q25" s="44">
        <v>10</v>
      </c>
      <c r="R25" s="44" t="s">
        <v>152</v>
      </c>
      <c r="S25" s="44" t="s">
        <v>19</v>
      </c>
      <c r="T25" s="44" t="s">
        <v>20</v>
      </c>
      <c r="U25" s="44" t="s">
        <v>20</v>
      </c>
      <c r="V25" s="44" t="s">
        <v>20</v>
      </c>
      <c r="W25" s="44">
        <v>2</v>
      </c>
      <c r="X25" s="44" t="s">
        <v>20</v>
      </c>
      <c r="Y25" s="44" t="s">
        <v>35</v>
      </c>
      <c r="Z25" s="47" t="s">
        <v>23</v>
      </c>
      <c r="AA25" s="44" t="s">
        <v>21</v>
      </c>
      <c r="AB25" s="44" t="s">
        <v>22</v>
      </c>
      <c r="AC25" s="44" t="s">
        <v>35</v>
      </c>
      <c r="AD25" s="44" t="s">
        <v>158</v>
      </c>
      <c r="AE25" s="44" t="s">
        <v>159</v>
      </c>
      <c r="AF25" s="44" t="s">
        <v>160</v>
      </c>
      <c r="AG25" s="44" t="s">
        <v>161</v>
      </c>
      <c r="AH25" s="44">
        <v>55055</v>
      </c>
      <c r="AI25" s="47" t="s">
        <v>266</v>
      </c>
      <c r="AJ25" s="47" t="s">
        <v>212</v>
      </c>
      <c r="AK25" s="44"/>
    </row>
    <row r="26" spans="1:37">
      <c r="A26" s="2" t="str">
        <f t="shared" si="0"/>
        <v>createAndConfirmAdvanceBookingPharmaceuticals_PHARMA_Pharma3Temperaturecontrolledbetween2Cto25C_International</v>
      </c>
      <c r="B26" s="2" t="s">
        <v>58</v>
      </c>
      <c r="C26" s="2" t="s">
        <v>176</v>
      </c>
      <c r="D26" s="46" t="s">
        <v>125</v>
      </c>
      <c r="E26" s="44" t="s">
        <v>124</v>
      </c>
      <c r="F26" s="44" t="b">
        <v>1</v>
      </c>
      <c r="G26" s="44" t="s">
        <v>35</v>
      </c>
      <c r="H26" s="44" t="s">
        <v>143</v>
      </c>
      <c r="I26" s="44" t="s">
        <v>142</v>
      </c>
      <c r="J26" s="2" t="s">
        <v>193</v>
      </c>
      <c r="K26" s="44" t="s">
        <v>298</v>
      </c>
      <c r="L26" s="44">
        <v>10</v>
      </c>
      <c r="M26" s="44" t="s">
        <v>145</v>
      </c>
      <c r="N26" s="44">
        <v>1</v>
      </c>
      <c r="O26" s="44">
        <v>10</v>
      </c>
      <c r="P26" s="44">
        <v>10</v>
      </c>
      <c r="Q26" s="44">
        <v>10</v>
      </c>
      <c r="R26" s="44" t="s">
        <v>152</v>
      </c>
      <c r="S26" s="44" t="s">
        <v>19</v>
      </c>
      <c r="T26" s="44" t="s">
        <v>20</v>
      </c>
      <c r="U26" s="44" t="s">
        <v>20</v>
      </c>
      <c r="V26" s="44" t="s">
        <v>20</v>
      </c>
      <c r="W26" s="44">
        <v>2</v>
      </c>
      <c r="X26" s="44" t="s">
        <v>20</v>
      </c>
      <c r="Y26" s="44" t="s">
        <v>35</v>
      </c>
      <c r="Z26" s="47" t="s">
        <v>23</v>
      </c>
      <c r="AA26" s="44" t="s">
        <v>21</v>
      </c>
      <c r="AB26" s="44" t="s">
        <v>22</v>
      </c>
      <c r="AC26" s="44" t="s">
        <v>35</v>
      </c>
      <c r="AD26" s="44" t="s">
        <v>158</v>
      </c>
      <c r="AE26" s="44" t="s">
        <v>159</v>
      </c>
      <c r="AF26" s="44" t="s">
        <v>160</v>
      </c>
      <c r="AG26" s="44" t="s">
        <v>161</v>
      </c>
      <c r="AH26" s="44">
        <v>55055</v>
      </c>
      <c r="AI26" s="47" t="s">
        <v>266</v>
      </c>
      <c r="AJ26" s="47" t="s">
        <v>212</v>
      </c>
      <c r="AK26" s="44"/>
    </row>
    <row r="27" spans="1:37">
      <c r="A27" s="2" t="str">
        <f t="shared" si="0"/>
        <v>createAndConfirmAdvanceBookingPharmaceuticals_PHARMA_Pharma4Temperaturecontrolledbetween15Cto25C_International</v>
      </c>
      <c r="B27" s="2" t="s">
        <v>58</v>
      </c>
      <c r="C27" s="2" t="s">
        <v>176</v>
      </c>
      <c r="D27" s="46" t="s">
        <v>125</v>
      </c>
      <c r="E27" s="44" t="s">
        <v>124</v>
      </c>
      <c r="F27" s="44" t="b">
        <v>1</v>
      </c>
      <c r="G27" s="44" t="s">
        <v>35</v>
      </c>
      <c r="H27" s="44" t="s">
        <v>143</v>
      </c>
      <c r="I27" s="44" t="s">
        <v>142</v>
      </c>
      <c r="J27" s="2" t="s">
        <v>194</v>
      </c>
      <c r="K27" s="44" t="s">
        <v>298</v>
      </c>
      <c r="L27" s="44">
        <v>10</v>
      </c>
      <c r="M27" s="44" t="s">
        <v>145</v>
      </c>
      <c r="N27" s="44">
        <v>1</v>
      </c>
      <c r="O27" s="44">
        <v>10</v>
      </c>
      <c r="P27" s="44">
        <v>10</v>
      </c>
      <c r="Q27" s="44">
        <v>10</v>
      </c>
      <c r="R27" s="44" t="s">
        <v>152</v>
      </c>
      <c r="S27" s="44" t="s">
        <v>19</v>
      </c>
      <c r="T27" s="44" t="s">
        <v>20</v>
      </c>
      <c r="U27" s="44" t="s">
        <v>20</v>
      </c>
      <c r="V27" s="44" t="s">
        <v>20</v>
      </c>
      <c r="W27" s="44">
        <v>2</v>
      </c>
      <c r="X27" s="44" t="s">
        <v>20</v>
      </c>
      <c r="Y27" s="44" t="s">
        <v>35</v>
      </c>
      <c r="Z27" s="47" t="s">
        <v>23</v>
      </c>
      <c r="AA27" s="44" t="s">
        <v>21</v>
      </c>
      <c r="AB27" s="44" t="s">
        <v>22</v>
      </c>
      <c r="AC27" s="44" t="s">
        <v>35</v>
      </c>
      <c r="AD27" s="44" t="s">
        <v>158</v>
      </c>
      <c r="AE27" s="44" t="s">
        <v>159</v>
      </c>
      <c r="AF27" s="44" t="s">
        <v>160</v>
      </c>
      <c r="AG27" s="44" t="s">
        <v>161</v>
      </c>
      <c r="AH27" s="44">
        <v>55055</v>
      </c>
      <c r="AI27" s="47" t="s">
        <v>266</v>
      </c>
      <c r="AJ27" s="47" t="s">
        <v>212</v>
      </c>
      <c r="AK27" s="44"/>
    </row>
    <row r="28" spans="1:37">
      <c r="A28" s="2" t="str">
        <f t="shared" si="0"/>
        <v>createAndConfirmAdvanceBookingMedical_DMD_MedicalshipmentMedevac_Domestic</v>
      </c>
      <c r="B28" s="2" t="s">
        <v>44</v>
      </c>
      <c r="C28" s="2" t="s">
        <v>163</v>
      </c>
      <c r="D28" s="46" t="s">
        <v>125</v>
      </c>
      <c r="E28" s="44" t="s">
        <v>124</v>
      </c>
      <c r="F28" s="44" t="b">
        <v>1</v>
      </c>
      <c r="G28" s="44" t="s">
        <v>35</v>
      </c>
      <c r="H28" s="44" t="s">
        <v>143</v>
      </c>
      <c r="I28" s="44" t="s">
        <v>142</v>
      </c>
      <c r="J28" s="2" t="s">
        <v>177</v>
      </c>
      <c r="K28" s="44" t="s">
        <v>305</v>
      </c>
      <c r="L28" s="44">
        <v>10</v>
      </c>
      <c r="M28" s="44" t="s">
        <v>145</v>
      </c>
      <c r="N28" s="44">
        <v>1</v>
      </c>
      <c r="O28" s="44">
        <v>10</v>
      </c>
      <c r="P28" s="44">
        <v>10</v>
      </c>
      <c r="Q28" s="44">
        <v>10</v>
      </c>
      <c r="R28" s="44" t="s">
        <v>152</v>
      </c>
      <c r="S28" s="44" t="s">
        <v>19</v>
      </c>
      <c r="T28" s="44" t="s">
        <v>20</v>
      </c>
      <c r="U28" s="44" t="s">
        <v>20</v>
      </c>
      <c r="V28" s="44" t="s">
        <v>20</v>
      </c>
      <c r="W28" s="44">
        <v>2</v>
      </c>
      <c r="X28" s="44" t="s">
        <v>20</v>
      </c>
      <c r="Y28" s="44" t="s">
        <v>35</v>
      </c>
      <c r="Z28" s="47" t="s">
        <v>23</v>
      </c>
      <c r="AA28" s="44" t="s">
        <v>21</v>
      </c>
      <c r="AB28" s="44" t="s">
        <v>22</v>
      </c>
      <c r="AC28" s="44" t="s">
        <v>35</v>
      </c>
      <c r="AD28" s="44" t="s">
        <v>158</v>
      </c>
      <c r="AE28" s="44" t="s">
        <v>159</v>
      </c>
      <c r="AF28" s="44" t="s">
        <v>160</v>
      </c>
      <c r="AG28" s="44" t="s">
        <v>161</v>
      </c>
      <c r="AH28" s="44">
        <v>55055</v>
      </c>
      <c r="AI28" s="47" t="s">
        <v>106</v>
      </c>
      <c r="AJ28" s="47" t="s">
        <v>208</v>
      </c>
      <c r="AK28" s="44"/>
    </row>
    <row r="29" spans="1:37">
      <c r="A29" s="2" t="str">
        <f t="shared" si="0"/>
        <v>createAndConfirmAdvanceBookingMedical_DMD_MedicalshipmentfortransplantLiveHumanOrgan_Domestic</v>
      </c>
      <c r="B29" s="2" t="s">
        <v>44</v>
      </c>
      <c r="C29" s="2" t="s">
        <v>163</v>
      </c>
      <c r="D29" s="46" t="s">
        <v>125</v>
      </c>
      <c r="E29" s="44" t="s">
        <v>124</v>
      </c>
      <c r="F29" s="44" t="b">
        <v>1</v>
      </c>
      <c r="G29" s="44" t="s">
        <v>35</v>
      </c>
      <c r="H29" s="44" t="s">
        <v>143</v>
      </c>
      <c r="I29" s="44" t="s">
        <v>142</v>
      </c>
      <c r="J29" s="2" t="s">
        <v>178</v>
      </c>
      <c r="K29" s="44" t="s">
        <v>305</v>
      </c>
      <c r="L29" s="44">
        <v>10</v>
      </c>
      <c r="M29" s="44" t="s">
        <v>145</v>
      </c>
      <c r="N29" s="44">
        <v>1</v>
      </c>
      <c r="O29" s="44">
        <v>10</v>
      </c>
      <c r="P29" s="44">
        <v>10</v>
      </c>
      <c r="Q29" s="44">
        <v>10</v>
      </c>
      <c r="R29" s="44" t="s">
        <v>152</v>
      </c>
      <c r="S29" s="44" t="s">
        <v>19</v>
      </c>
      <c r="T29" s="44" t="s">
        <v>20</v>
      </c>
      <c r="U29" s="44" t="s">
        <v>20</v>
      </c>
      <c r="V29" s="44" t="s">
        <v>20</v>
      </c>
      <c r="W29" s="44">
        <v>2</v>
      </c>
      <c r="X29" s="44" t="s">
        <v>20</v>
      </c>
      <c r="Y29" s="44" t="s">
        <v>35</v>
      </c>
      <c r="Z29" s="47" t="s">
        <v>23</v>
      </c>
      <c r="AA29" s="44" t="s">
        <v>21</v>
      </c>
      <c r="AB29" s="44" t="s">
        <v>22</v>
      </c>
      <c r="AC29" s="44" t="s">
        <v>35</v>
      </c>
      <c r="AD29" s="44" t="s">
        <v>158</v>
      </c>
      <c r="AE29" s="44" t="s">
        <v>159</v>
      </c>
      <c r="AF29" s="44" t="s">
        <v>160</v>
      </c>
      <c r="AG29" s="44" t="s">
        <v>161</v>
      </c>
      <c r="AH29" s="44">
        <v>55055</v>
      </c>
      <c r="AI29" s="47" t="s">
        <v>106</v>
      </c>
      <c r="AJ29" s="47" t="s">
        <v>208</v>
      </c>
      <c r="AK29" s="44"/>
    </row>
    <row r="30" spans="1:37">
      <c r="A30" s="2" t="str">
        <f t="shared" si="0"/>
        <v>createAndConfirmAdvanceBookingMedical_DMD_Lifesavingdrugsandmedicationorcordblood_Domestic</v>
      </c>
      <c r="B30" s="2" t="s">
        <v>44</v>
      </c>
      <c r="C30" s="2" t="s">
        <v>163</v>
      </c>
      <c r="D30" s="46" t="s">
        <v>125</v>
      </c>
      <c r="E30" s="44" t="s">
        <v>124</v>
      </c>
      <c r="F30" s="44" t="b">
        <v>1</v>
      </c>
      <c r="G30" s="44" t="s">
        <v>35</v>
      </c>
      <c r="H30" s="44" t="s">
        <v>143</v>
      </c>
      <c r="I30" s="44" t="s">
        <v>142</v>
      </c>
      <c r="J30" s="2" t="s">
        <v>179</v>
      </c>
      <c r="K30" s="44" t="s">
        <v>305</v>
      </c>
      <c r="L30" s="44">
        <v>10</v>
      </c>
      <c r="M30" s="44" t="s">
        <v>145</v>
      </c>
      <c r="N30" s="44">
        <v>1</v>
      </c>
      <c r="O30" s="44">
        <v>10</v>
      </c>
      <c r="P30" s="44">
        <v>10</v>
      </c>
      <c r="Q30" s="44">
        <v>10</v>
      </c>
      <c r="R30" s="44" t="s">
        <v>152</v>
      </c>
      <c r="S30" s="44" t="s">
        <v>19</v>
      </c>
      <c r="T30" s="44" t="s">
        <v>20</v>
      </c>
      <c r="U30" s="44" t="s">
        <v>20</v>
      </c>
      <c r="V30" s="44" t="s">
        <v>20</v>
      </c>
      <c r="W30" s="44">
        <v>2</v>
      </c>
      <c r="X30" s="44" t="s">
        <v>20</v>
      </c>
      <c r="Y30" s="44" t="s">
        <v>35</v>
      </c>
      <c r="Z30" s="47" t="s">
        <v>23</v>
      </c>
      <c r="AA30" s="44" t="s">
        <v>21</v>
      </c>
      <c r="AB30" s="44" t="s">
        <v>22</v>
      </c>
      <c r="AC30" s="44" t="s">
        <v>35</v>
      </c>
      <c r="AD30" s="44" t="s">
        <v>158</v>
      </c>
      <c r="AE30" s="44" t="s">
        <v>159</v>
      </c>
      <c r="AF30" s="44" t="s">
        <v>160</v>
      </c>
      <c r="AG30" s="44" t="s">
        <v>161</v>
      </c>
      <c r="AH30" s="44">
        <v>55055</v>
      </c>
      <c r="AI30" s="47" t="s">
        <v>106</v>
      </c>
      <c r="AJ30" s="47" t="s">
        <v>208</v>
      </c>
      <c r="AK30" s="44"/>
    </row>
    <row r="31" spans="1:37">
      <c r="A31" s="2" t="str">
        <f t="shared" si="0"/>
        <v>createAndConfirmAdvanceBookingMedical_DMD_MedicalshipmentfortransplantOther_Domestic</v>
      </c>
      <c r="B31" s="2" t="s">
        <v>44</v>
      </c>
      <c r="C31" s="2" t="s">
        <v>163</v>
      </c>
      <c r="D31" s="46" t="s">
        <v>125</v>
      </c>
      <c r="E31" s="44" t="s">
        <v>124</v>
      </c>
      <c r="F31" s="44" t="b">
        <v>1</v>
      </c>
      <c r="G31" s="44" t="s">
        <v>35</v>
      </c>
      <c r="H31" s="44" t="s">
        <v>143</v>
      </c>
      <c r="I31" s="44" t="s">
        <v>142</v>
      </c>
      <c r="J31" s="2" t="s">
        <v>180</v>
      </c>
      <c r="K31" s="44" t="s">
        <v>305</v>
      </c>
      <c r="L31" s="44">
        <v>10</v>
      </c>
      <c r="M31" s="44" t="s">
        <v>145</v>
      </c>
      <c r="N31" s="44">
        <v>1</v>
      </c>
      <c r="O31" s="44">
        <v>10</v>
      </c>
      <c r="P31" s="44">
        <v>10</v>
      </c>
      <c r="Q31" s="44">
        <v>10</v>
      </c>
      <c r="R31" s="44" t="s">
        <v>152</v>
      </c>
      <c r="S31" s="44" t="s">
        <v>19</v>
      </c>
      <c r="T31" s="44" t="s">
        <v>20</v>
      </c>
      <c r="U31" s="44" t="s">
        <v>20</v>
      </c>
      <c r="V31" s="44" t="s">
        <v>20</v>
      </c>
      <c r="W31" s="44">
        <v>2</v>
      </c>
      <c r="X31" s="44" t="s">
        <v>20</v>
      </c>
      <c r="Y31" s="44" t="s">
        <v>35</v>
      </c>
      <c r="Z31" s="47" t="s">
        <v>23</v>
      </c>
      <c r="AA31" s="44" t="s">
        <v>21</v>
      </c>
      <c r="AB31" s="44" t="s">
        <v>22</v>
      </c>
      <c r="AC31" s="44" t="s">
        <v>35</v>
      </c>
      <c r="AD31" s="44" t="s">
        <v>158</v>
      </c>
      <c r="AE31" s="44" t="s">
        <v>159</v>
      </c>
      <c r="AF31" s="44" t="s">
        <v>160</v>
      </c>
      <c r="AG31" s="44" t="s">
        <v>161</v>
      </c>
      <c r="AH31" s="44">
        <v>55055</v>
      </c>
      <c r="AI31" s="47" t="s">
        <v>106</v>
      </c>
      <c r="AJ31" s="47" t="s">
        <v>208</v>
      </c>
      <c r="AK31" s="44"/>
    </row>
    <row r="32" spans="1:37">
      <c r="A32" s="2" t="str">
        <f t="shared" si="0"/>
        <v>createAndConfirmAdvanceBookingMedical_DMD_MedicalshipmentnotfortransplantDiagnosticSpecimen_Domestic</v>
      </c>
      <c r="B32" s="2" t="s">
        <v>44</v>
      </c>
      <c r="C32" s="2" t="s">
        <v>163</v>
      </c>
      <c r="D32" s="46" t="s">
        <v>125</v>
      </c>
      <c r="E32" s="44" t="s">
        <v>124</v>
      </c>
      <c r="F32" s="44" t="b">
        <v>1</v>
      </c>
      <c r="G32" s="44" t="s">
        <v>35</v>
      </c>
      <c r="H32" s="44" t="s">
        <v>143</v>
      </c>
      <c r="I32" s="44" t="s">
        <v>142</v>
      </c>
      <c r="J32" s="2" t="s">
        <v>181</v>
      </c>
      <c r="K32" s="44" t="s">
        <v>305</v>
      </c>
      <c r="L32" s="44">
        <v>10</v>
      </c>
      <c r="M32" s="44" t="s">
        <v>145</v>
      </c>
      <c r="N32" s="44">
        <v>1</v>
      </c>
      <c r="O32" s="44">
        <v>10</v>
      </c>
      <c r="P32" s="44">
        <v>10</v>
      </c>
      <c r="Q32" s="44">
        <v>10</v>
      </c>
      <c r="R32" s="44" t="s">
        <v>152</v>
      </c>
      <c r="S32" s="44" t="s">
        <v>19</v>
      </c>
      <c r="T32" s="44" t="s">
        <v>20</v>
      </c>
      <c r="U32" s="44" t="s">
        <v>20</v>
      </c>
      <c r="V32" s="44" t="s">
        <v>20</v>
      </c>
      <c r="W32" s="44">
        <v>2</v>
      </c>
      <c r="X32" s="44" t="s">
        <v>20</v>
      </c>
      <c r="Y32" s="44" t="s">
        <v>35</v>
      </c>
      <c r="Z32" s="47" t="s">
        <v>23</v>
      </c>
      <c r="AA32" s="44" t="s">
        <v>21</v>
      </c>
      <c r="AB32" s="44" t="s">
        <v>22</v>
      </c>
      <c r="AC32" s="44" t="s">
        <v>35</v>
      </c>
      <c r="AD32" s="44" t="s">
        <v>158</v>
      </c>
      <c r="AE32" s="44" t="s">
        <v>159</v>
      </c>
      <c r="AF32" s="44" t="s">
        <v>160</v>
      </c>
      <c r="AG32" s="44" t="s">
        <v>161</v>
      </c>
      <c r="AH32" s="44">
        <v>55055</v>
      </c>
      <c r="AI32" s="47" t="s">
        <v>106</v>
      </c>
      <c r="AJ32" s="47" t="s">
        <v>208</v>
      </c>
      <c r="AK32" s="44"/>
    </row>
    <row r="33" spans="1:37">
      <c r="A33" s="2" t="str">
        <f t="shared" si="0"/>
        <v>createAndConfirmAdvanceBookingMedical_DMD_MedicalshipmentnotfortransplantOther_Domestic</v>
      </c>
      <c r="B33" s="2" t="s">
        <v>44</v>
      </c>
      <c r="C33" s="2" t="s">
        <v>163</v>
      </c>
      <c r="D33" s="46" t="s">
        <v>125</v>
      </c>
      <c r="E33" s="44" t="s">
        <v>124</v>
      </c>
      <c r="F33" s="44" t="b">
        <v>1</v>
      </c>
      <c r="G33" s="44" t="s">
        <v>35</v>
      </c>
      <c r="H33" s="44" t="s">
        <v>143</v>
      </c>
      <c r="I33" s="44" t="s">
        <v>142</v>
      </c>
      <c r="J33" s="2" t="s">
        <v>182</v>
      </c>
      <c r="K33" s="44" t="s">
        <v>305</v>
      </c>
      <c r="L33" s="44">
        <v>10</v>
      </c>
      <c r="M33" s="44" t="s">
        <v>145</v>
      </c>
      <c r="N33" s="44">
        <v>1</v>
      </c>
      <c r="O33" s="44">
        <v>10</v>
      </c>
      <c r="P33" s="44">
        <v>10</v>
      </c>
      <c r="Q33" s="44">
        <v>10</v>
      </c>
      <c r="R33" s="44" t="s">
        <v>152</v>
      </c>
      <c r="S33" s="44" t="s">
        <v>19</v>
      </c>
      <c r="T33" s="44" t="s">
        <v>20</v>
      </c>
      <c r="U33" s="44" t="s">
        <v>20</v>
      </c>
      <c r="V33" s="44" t="s">
        <v>20</v>
      </c>
      <c r="W33" s="44">
        <v>2</v>
      </c>
      <c r="X33" s="44" t="s">
        <v>20</v>
      </c>
      <c r="Y33" s="44" t="s">
        <v>35</v>
      </c>
      <c r="Z33" s="47" t="s">
        <v>23</v>
      </c>
      <c r="AA33" s="44" t="s">
        <v>21</v>
      </c>
      <c r="AB33" s="44" t="s">
        <v>22</v>
      </c>
      <c r="AC33" s="44" t="s">
        <v>35</v>
      </c>
      <c r="AD33" s="44" t="s">
        <v>158</v>
      </c>
      <c r="AE33" s="44" t="s">
        <v>159</v>
      </c>
      <c r="AF33" s="44" t="s">
        <v>160</v>
      </c>
      <c r="AG33" s="44" t="s">
        <v>161</v>
      </c>
      <c r="AH33" s="44">
        <v>55055</v>
      </c>
      <c r="AI33" s="47" t="s">
        <v>106</v>
      </c>
      <c r="AJ33" s="47" t="s">
        <v>208</v>
      </c>
      <c r="AK33" s="44"/>
    </row>
    <row r="34" spans="1:37">
      <c r="A34" s="2" t="str">
        <f t="shared" si="0"/>
        <v>createAndConfirmAdvanceBookingMedical_DMD_MedicalshipmentMedevac_International</v>
      </c>
      <c r="B34" s="2" t="s">
        <v>44</v>
      </c>
      <c r="C34" s="2" t="s">
        <v>163</v>
      </c>
      <c r="D34" s="46" t="s">
        <v>125</v>
      </c>
      <c r="E34" s="44" t="s">
        <v>124</v>
      </c>
      <c r="F34" s="44" t="b">
        <v>1</v>
      </c>
      <c r="G34" s="44" t="s">
        <v>35</v>
      </c>
      <c r="H34" s="44" t="s">
        <v>143</v>
      </c>
      <c r="I34" s="44" t="s">
        <v>142</v>
      </c>
      <c r="J34" s="2" t="s">
        <v>177</v>
      </c>
      <c r="K34" s="44" t="s">
        <v>305</v>
      </c>
      <c r="L34" s="44">
        <v>10</v>
      </c>
      <c r="M34" s="44" t="s">
        <v>145</v>
      </c>
      <c r="N34" s="44">
        <v>1</v>
      </c>
      <c r="O34" s="44">
        <v>10</v>
      </c>
      <c r="P34" s="44">
        <v>10</v>
      </c>
      <c r="Q34" s="44">
        <v>10</v>
      </c>
      <c r="R34" s="44" t="s">
        <v>152</v>
      </c>
      <c r="S34" s="44" t="s">
        <v>19</v>
      </c>
      <c r="T34" s="44" t="s">
        <v>20</v>
      </c>
      <c r="U34" s="44" t="s">
        <v>20</v>
      </c>
      <c r="V34" s="44" t="s">
        <v>20</v>
      </c>
      <c r="W34" s="44">
        <v>2</v>
      </c>
      <c r="X34" s="44" t="s">
        <v>20</v>
      </c>
      <c r="Y34" s="44" t="s">
        <v>35</v>
      </c>
      <c r="Z34" s="47" t="s">
        <v>23</v>
      </c>
      <c r="AA34" s="44" t="s">
        <v>21</v>
      </c>
      <c r="AB34" s="44" t="s">
        <v>22</v>
      </c>
      <c r="AC34" s="44" t="s">
        <v>35</v>
      </c>
      <c r="AD34" s="44" t="s">
        <v>158</v>
      </c>
      <c r="AE34" s="44" t="s">
        <v>159</v>
      </c>
      <c r="AF34" s="44" t="s">
        <v>160</v>
      </c>
      <c r="AG34" s="44" t="s">
        <v>161</v>
      </c>
      <c r="AH34" s="44">
        <v>55055</v>
      </c>
      <c r="AI34" s="47" t="s">
        <v>266</v>
      </c>
      <c r="AJ34" s="47" t="s">
        <v>212</v>
      </c>
      <c r="AK34" s="44"/>
    </row>
    <row r="35" spans="1:37">
      <c r="A35" s="2" t="str">
        <f t="shared" si="0"/>
        <v>createAndConfirmAdvanceBookingMedical_DMD_MedicalshipmentfortransplantLiveHumanOrgan_International</v>
      </c>
      <c r="B35" s="2" t="s">
        <v>44</v>
      </c>
      <c r="C35" s="2" t="s">
        <v>163</v>
      </c>
      <c r="D35" s="46" t="s">
        <v>125</v>
      </c>
      <c r="E35" s="44" t="s">
        <v>124</v>
      </c>
      <c r="F35" s="44" t="b">
        <v>1</v>
      </c>
      <c r="G35" s="44" t="s">
        <v>35</v>
      </c>
      <c r="H35" s="44" t="s">
        <v>143</v>
      </c>
      <c r="I35" s="44" t="s">
        <v>142</v>
      </c>
      <c r="J35" s="2" t="s">
        <v>178</v>
      </c>
      <c r="K35" s="44" t="s">
        <v>305</v>
      </c>
      <c r="L35" s="44">
        <v>10</v>
      </c>
      <c r="M35" s="44" t="s">
        <v>145</v>
      </c>
      <c r="N35" s="44">
        <v>1</v>
      </c>
      <c r="O35" s="44">
        <v>10</v>
      </c>
      <c r="P35" s="44">
        <v>10</v>
      </c>
      <c r="Q35" s="44">
        <v>10</v>
      </c>
      <c r="R35" s="44" t="s">
        <v>152</v>
      </c>
      <c r="S35" s="44" t="s">
        <v>19</v>
      </c>
      <c r="T35" s="44" t="s">
        <v>20</v>
      </c>
      <c r="U35" s="44" t="s">
        <v>20</v>
      </c>
      <c r="V35" s="44" t="s">
        <v>20</v>
      </c>
      <c r="W35" s="44">
        <v>2</v>
      </c>
      <c r="X35" s="44" t="s">
        <v>20</v>
      </c>
      <c r="Y35" s="44" t="s">
        <v>35</v>
      </c>
      <c r="Z35" s="47" t="s">
        <v>23</v>
      </c>
      <c r="AA35" s="44" t="s">
        <v>21</v>
      </c>
      <c r="AB35" s="44" t="s">
        <v>22</v>
      </c>
      <c r="AC35" s="44" t="s">
        <v>35</v>
      </c>
      <c r="AD35" s="44" t="s">
        <v>158</v>
      </c>
      <c r="AE35" s="44" t="s">
        <v>159</v>
      </c>
      <c r="AF35" s="44" t="s">
        <v>160</v>
      </c>
      <c r="AG35" s="44" t="s">
        <v>161</v>
      </c>
      <c r="AH35" s="44">
        <v>55055</v>
      </c>
      <c r="AI35" s="47" t="s">
        <v>266</v>
      </c>
      <c r="AJ35" s="47" t="s">
        <v>212</v>
      </c>
      <c r="AK35" s="44"/>
    </row>
    <row r="36" spans="1:37">
      <c r="A36" s="2" t="str">
        <f t="shared" si="0"/>
        <v>createAndConfirmAdvanceBookingMedical_DMD_Lifesavingdrugsandmedicationorcordblood_International</v>
      </c>
      <c r="B36" s="2" t="s">
        <v>44</v>
      </c>
      <c r="C36" s="2" t="s">
        <v>163</v>
      </c>
      <c r="D36" s="46" t="s">
        <v>125</v>
      </c>
      <c r="E36" s="44" t="s">
        <v>124</v>
      </c>
      <c r="F36" s="44" t="b">
        <v>1</v>
      </c>
      <c r="G36" s="44" t="s">
        <v>35</v>
      </c>
      <c r="H36" s="44" t="s">
        <v>143</v>
      </c>
      <c r="I36" s="44" t="s">
        <v>142</v>
      </c>
      <c r="J36" s="2" t="s">
        <v>179</v>
      </c>
      <c r="K36" s="44" t="s">
        <v>305</v>
      </c>
      <c r="L36" s="44">
        <v>10</v>
      </c>
      <c r="M36" s="44" t="s">
        <v>145</v>
      </c>
      <c r="N36" s="44">
        <v>1</v>
      </c>
      <c r="O36" s="44">
        <v>10</v>
      </c>
      <c r="P36" s="44">
        <v>10</v>
      </c>
      <c r="Q36" s="44">
        <v>10</v>
      </c>
      <c r="R36" s="44" t="s">
        <v>152</v>
      </c>
      <c r="S36" s="44" t="s">
        <v>19</v>
      </c>
      <c r="T36" s="44" t="s">
        <v>20</v>
      </c>
      <c r="U36" s="44" t="s">
        <v>20</v>
      </c>
      <c r="V36" s="44" t="s">
        <v>20</v>
      </c>
      <c r="W36" s="44">
        <v>2</v>
      </c>
      <c r="X36" s="44" t="s">
        <v>20</v>
      </c>
      <c r="Y36" s="44" t="s">
        <v>35</v>
      </c>
      <c r="Z36" s="47" t="s">
        <v>23</v>
      </c>
      <c r="AA36" s="44" t="s">
        <v>21</v>
      </c>
      <c r="AB36" s="44" t="s">
        <v>22</v>
      </c>
      <c r="AC36" s="44" t="s">
        <v>35</v>
      </c>
      <c r="AD36" s="44" t="s">
        <v>158</v>
      </c>
      <c r="AE36" s="44" t="s">
        <v>159</v>
      </c>
      <c r="AF36" s="44" t="s">
        <v>160</v>
      </c>
      <c r="AG36" s="44" t="s">
        <v>161</v>
      </c>
      <c r="AH36" s="44">
        <v>55055</v>
      </c>
      <c r="AI36" s="47" t="s">
        <v>266</v>
      </c>
      <c r="AJ36" s="47" t="s">
        <v>212</v>
      </c>
      <c r="AK36" s="44"/>
    </row>
    <row r="37" spans="1:37">
      <c r="A37" s="2" t="str">
        <f t="shared" si="0"/>
        <v>createAndConfirmAdvanceBookingMedical_DMD_MedicalshipmentfortransplantOther_International</v>
      </c>
      <c r="B37" s="2" t="s">
        <v>44</v>
      </c>
      <c r="C37" s="2" t="s">
        <v>163</v>
      </c>
      <c r="D37" s="46" t="s">
        <v>125</v>
      </c>
      <c r="E37" s="44" t="s">
        <v>124</v>
      </c>
      <c r="F37" s="44" t="b">
        <v>1</v>
      </c>
      <c r="G37" s="44" t="s">
        <v>35</v>
      </c>
      <c r="H37" s="44" t="s">
        <v>143</v>
      </c>
      <c r="I37" s="44" t="s">
        <v>142</v>
      </c>
      <c r="J37" s="2" t="s">
        <v>180</v>
      </c>
      <c r="K37" s="44" t="s">
        <v>305</v>
      </c>
      <c r="L37" s="44">
        <v>10</v>
      </c>
      <c r="M37" s="44" t="s">
        <v>145</v>
      </c>
      <c r="N37" s="44">
        <v>1</v>
      </c>
      <c r="O37" s="44">
        <v>10</v>
      </c>
      <c r="P37" s="44">
        <v>10</v>
      </c>
      <c r="Q37" s="44">
        <v>10</v>
      </c>
      <c r="R37" s="44" t="s">
        <v>152</v>
      </c>
      <c r="S37" s="44" t="s">
        <v>19</v>
      </c>
      <c r="T37" s="44" t="s">
        <v>20</v>
      </c>
      <c r="U37" s="44" t="s">
        <v>20</v>
      </c>
      <c r="V37" s="44" t="s">
        <v>20</v>
      </c>
      <c r="W37" s="44">
        <v>2</v>
      </c>
      <c r="X37" s="44" t="s">
        <v>20</v>
      </c>
      <c r="Y37" s="44" t="s">
        <v>35</v>
      </c>
      <c r="Z37" s="47" t="s">
        <v>23</v>
      </c>
      <c r="AA37" s="44" t="s">
        <v>21</v>
      </c>
      <c r="AB37" s="44" t="s">
        <v>22</v>
      </c>
      <c r="AC37" s="44" t="s">
        <v>35</v>
      </c>
      <c r="AD37" s="44" t="s">
        <v>158</v>
      </c>
      <c r="AE37" s="44" t="s">
        <v>159</v>
      </c>
      <c r="AF37" s="44" t="s">
        <v>160</v>
      </c>
      <c r="AG37" s="44" t="s">
        <v>161</v>
      </c>
      <c r="AH37" s="44">
        <v>55055</v>
      </c>
      <c r="AI37" s="47" t="s">
        <v>266</v>
      </c>
      <c r="AJ37" s="47" t="s">
        <v>212</v>
      </c>
      <c r="AK37" s="44"/>
    </row>
    <row r="38" spans="1:37">
      <c r="A38" s="2" t="str">
        <f t="shared" si="0"/>
        <v>createAndConfirmAdvanceBookingMedical_DMD_MedicalshipmentnotfortransplantDiagnosticSpecimen_International</v>
      </c>
      <c r="B38" s="2" t="s">
        <v>44</v>
      </c>
      <c r="C38" s="2" t="s">
        <v>163</v>
      </c>
      <c r="D38" s="46" t="s">
        <v>125</v>
      </c>
      <c r="E38" s="44" t="s">
        <v>124</v>
      </c>
      <c r="F38" s="44" t="b">
        <v>1</v>
      </c>
      <c r="G38" s="44" t="s">
        <v>35</v>
      </c>
      <c r="H38" s="44" t="s">
        <v>143</v>
      </c>
      <c r="I38" s="44" t="s">
        <v>142</v>
      </c>
      <c r="J38" s="2" t="s">
        <v>181</v>
      </c>
      <c r="K38" s="44" t="s">
        <v>305</v>
      </c>
      <c r="L38" s="44">
        <v>10</v>
      </c>
      <c r="M38" s="44" t="s">
        <v>145</v>
      </c>
      <c r="N38" s="44">
        <v>1</v>
      </c>
      <c r="O38" s="44">
        <v>10</v>
      </c>
      <c r="P38" s="44">
        <v>10</v>
      </c>
      <c r="Q38" s="44">
        <v>10</v>
      </c>
      <c r="R38" s="44" t="s">
        <v>152</v>
      </c>
      <c r="S38" s="44" t="s">
        <v>19</v>
      </c>
      <c r="T38" s="44" t="s">
        <v>20</v>
      </c>
      <c r="U38" s="44" t="s">
        <v>20</v>
      </c>
      <c r="V38" s="44" t="s">
        <v>20</v>
      </c>
      <c r="W38" s="44">
        <v>2</v>
      </c>
      <c r="X38" s="44" t="s">
        <v>20</v>
      </c>
      <c r="Y38" s="44" t="s">
        <v>35</v>
      </c>
      <c r="Z38" s="47" t="s">
        <v>23</v>
      </c>
      <c r="AA38" s="44" t="s">
        <v>21</v>
      </c>
      <c r="AB38" s="44" t="s">
        <v>22</v>
      </c>
      <c r="AC38" s="44" t="s">
        <v>35</v>
      </c>
      <c r="AD38" s="44" t="s">
        <v>158</v>
      </c>
      <c r="AE38" s="44" t="s">
        <v>159</v>
      </c>
      <c r="AF38" s="44" t="s">
        <v>160</v>
      </c>
      <c r="AG38" s="44" t="s">
        <v>161</v>
      </c>
      <c r="AH38" s="44">
        <v>55055</v>
      </c>
      <c r="AI38" s="47" t="s">
        <v>266</v>
      </c>
      <c r="AJ38" s="47" t="s">
        <v>212</v>
      </c>
      <c r="AK38" s="44"/>
    </row>
    <row r="39" spans="1:37">
      <c r="A39" s="2" t="str">
        <f t="shared" si="0"/>
        <v>createAndConfirmAdvanceBookingMedical_DMD_MedicalshipmentnotfortransplantOther_International</v>
      </c>
      <c r="B39" s="2" t="s">
        <v>44</v>
      </c>
      <c r="C39" s="2" t="s">
        <v>163</v>
      </c>
      <c r="D39" s="46" t="s">
        <v>125</v>
      </c>
      <c r="E39" s="44" t="s">
        <v>124</v>
      </c>
      <c r="F39" s="44" t="b">
        <v>1</v>
      </c>
      <c r="G39" s="44" t="s">
        <v>35</v>
      </c>
      <c r="H39" s="44" t="s">
        <v>143</v>
      </c>
      <c r="I39" s="44" t="s">
        <v>142</v>
      </c>
      <c r="J39" s="2" t="s">
        <v>182</v>
      </c>
      <c r="K39" s="44" t="s">
        <v>305</v>
      </c>
      <c r="L39" s="44">
        <v>10</v>
      </c>
      <c r="M39" s="44" t="s">
        <v>145</v>
      </c>
      <c r="N39" s="44">
        <v>1</v>
      </c>
      <c r="O39" s="44">
        <v>10</v>
      </c>
      <c r="P39" s="44">
        <v>10</v>
      </c>
      <c r="Q39" s="44">
        <v>10</v>
      </c>
      <c r="R39" s="44" t="s">
        <v>152</v>
      </c>
      <c r="S39" s="44" t="s">
        <v>19</v>
      </c>
      <c r="T39" s="44" t="s">
        <v>20</v>
      </c>
      <c r="U39" s="44" t="s">
        <v>20</v>
      </c>
      <c r="V39" s="44" t="s">
        <v>20</v>
      </c>
      <c r="W39" s="44">
        <v>2</v>
      </c>
      <c r="X39" s="44" t="s">
        <v>20</v>
      </c>
      <c r="Y39" s="44" t="s">
        <v>35</v>
      </c>
      <c r="Z39" s="47" t="s">
        <v>23</v>
      </c>
      <c r="AA39" s="44" t="s">
        <v>21</v>
      </c>
      <c r="AB39" s="44" t="s">
        <v>22</v>
      </c>
      <c r="AC39" s="44" t="s">
        <v>35</v>
      </c>
      <c r="AD39" s="44" t="s">
        <v>158</v>
      </c>
      <c r="AE39" s="44" t="s">
        <v>159</v>
      </c>
      <c r="AF39" s="44" t="s">
        <v>160</v>
      </c>
      <c r="AG39" s="44" t="s">
        <v>161</v>
      </c>
      <c r="AH39" s="44">
        <v>55055</v>
      </c>
      <c r="AI39" s="47" t="s">
        <v>266</v>
      </c>
      <c r="AJ39" s="47" t="s">
        <v>212</v>
      </c>
      <c r="AK39" s="44"/>
    </row>
    <row r="40" spans="1:37">
      <c r="A40" s="2" t="str">
        <f t="shared" si="0"/>
        <v>createAndConfirmAdvanceBookingValuables_SAFE_Valuegreaterthan25000USD_Domestic</v>
      </c>
      <c r="B40" s="2" t="s">
        <v>87</v>
      </c>
      <c r="C40" s="2" t="s">
        <v>185</v>
      </c>
      <c r="D40" s="46" t="s">
        <v>125</v>
      </c>
      <c r="E40" s="44" t="s">
        <v>124</v>
      </c>
      <c r="F40" s="44" t="b">
        <v>1</v>
      </c>
      <c r="G40" s="44" t="s">
        <v>35</v>
      </c>
      <c r="H40" s="44" t="s">
        <v>143</v>
      </c>
      <c r="I40" s="44" t="s">
        <v>142</v>
      </c>
      <c r="J40" s="2" t="s">
        <v>183</v>
      </c>
      <c r="K40" s="44" t="s">
        <v>306</v>
      </c>
      <c r="L40" s="44">
        <v>10</v>
      </c>
      <c r="M40" s="44" t="s">
        <v>145</v>
      </c>
      <c r="N40" s="44">
        <v>1</v>
      </c>
      <c r="O40" s="44">
        <v>10</v>
      </c>
      <c r="P40" s="44">
        <v>10</v>
      </c>
      <c r="Q40" s="44">
        <v>10</v>
      </c>
      <c r="R40" s="44" t="s">
        <v>152</v>
      </c>
      <c r="S40" s="44" t="s">
        <v>19</v>
      </c>
      <c r="T40" s="44" t="s">
        <v>20</v>
      </c>
      <c r="U40" s="44" t="s">
        <v>20</v>
      </c>
      <c r="V40" s="44" t="s">
        <v>20</v>
      </c>
      <c r="W40" s="44">
        <v>2</v>
      </c>
      <c r="X40" s="44" t="s">
        <v>20</v>
      </c>
      <c r="Y40" s="44" t="s">
        <v>35</v>
      </c>
      <c r="Z40" s="47" t="s">
        <v>23</v>
      </c>
      <c r="AA40" s="44" t="s">
        <v>21</v>
      </c>
      <c r="AB40" s="44" t="s">
        <v>22</v>
      </c>
      <c r="AC40" s="44" t="s">
        <v>35</v>
      </c>
      <c r="AD40" s="44" t="s">
        <v>158</v>
      </c>
      <c r="AE40" s="44" t="s">
        <v>159</v>
      </c>
      <c r="AF40" s="44" t="s">
        <v>160</v>
      </c>
      <c r="AG40" s="44" t="s">
        <v>161</v>
      </c>
      <c r="AH40" s="44">
        <v>55055</v>
      </c>
      <c r="AI40" s="47" t="s">
        <v>106</v>
      </c>
      <c r="AJ40" s="47" t="s">
        <v>208</v>
      </c>
      <c r="AK40" s="44"/>
    </row>
    <row r="41" spans="1:37">
      <c r="A41" s="2" t="str">
        <f t="shared" si="0"/>
        <v>createAndConfirmAdvanceBookingValuables_SAFE_Valuelessthan25000USD_Domestic</v>
      </c>
      <c r="B41" s="2" t="s">
        <v>87</v>
      </c>
      <c r="C41" s="2" t="s">
        <v>185</v>
      </c>
      <c r="D41" s="46" t="s">
        <v>125</v>
      </c>
      <c r="E41" s="44" t="s">
        <v>124</v>
      </c>
      <c r="F41" s="44" t="b">
        <v>1</v>
      </c>
      <c r="G41" s="44" t="s">
        <v>35</v>
      </c>
      <c r="H41" s="44" t="s">
        <v>143</v>
      </c>
      <c r="I41" s="44" t="s">
        <v>142</v>
      </c>
      <c r="J41" s="2" t="s">
        <v>184</v>
      </c>
      <c r="K41" s="44" t="s">
        <v>306</v>
      </c>
      <c r="L41" s="44">
        <v>10</v>
      </c>
      <c r="M41" s="44" t="s">
        <v>145</v>
      </c>
      <c r="N41" s="44">
        <v>1</v>
      </c>
      <c r="O41" s="44">
        <v>10</v>
      </c>
      <c r="P41" s="44">
        <v>10</v>
      </c>
      <c r="Q41" s="44">
        <v>10</v>
      </c>
      <c r="R41" s="44" t="s">
        <v>152</v>
      </c>
      <c r="S41" s="44" t="s">
        <v>19</v>
      </c>
      <c r="T41" s="44" t="s">
        <v>20</v>
      </c>
      <c r="U41" s="44" t="s">
        <v>20</v>
      </c>
      <c r="V41" s="44" t="s">
        <v>20</v>
      </c>
      <c r="W41" s="44">
        <v>2</v>
      </c>
      <c r="X41" s="44" t="s">
        <v>20</v>
      </c>
      <c r="Y41" s="44" t="s">
        <v>35</v>
      </c>
      <c r="Z41" s="47" t="s">
        <v>23</v>
      </c>
      <c r="AA41" s="44" t="s">
        <v>21</v>
      </c>
      <c r="AB41" s="44" t="s">
        <v>22</v>
      </c>
      <c r="AC41" s="44" t="s">
        <v>35</v>
      </c>
      <c r="AD41" s="44" t="s">
        <v>158</v>
      </c>
      <c r="AE41" s="44" t="s">
        <v>159</v>
      </c>
      <c r="AF41" s="44" t="s">
        <v>160</v>
      </c>
      <c r="AG41" s="44" t="s">
        <v>161</v>
      </c>
      <c r="AH41" s="44">
        <v>55055</v>
      </c>
      <c r="AI41" s="47" t="s">
        <v>106</v>
      </c>
      <c r="AJ41" s="47" t="s">
        <v>208</v>
      </c>
      <c r="AK41" s="44"/>
    </row>
    <row r="42" spans="1:37">
      <c r="A42" s="2" t="str">
        <f t="shared" si="0"/>
        <v>createAndConfirmAdvanceBookingValuables_SAFE_Valuegreaterthan25000USD_International</v>
      </c>
      <c r="B42" s="2" t="s">
        <v>87</v>
      </c>
      <c r="C42" s="2" t="s">
        <v>185</v>
      </c>
      <c r="D42" s="46" t="s">
        <v>125</v>
      </c>
      <c r="E42" s="44" t="s">
        <v>124</v>
      </c>
      <c r="F42" s="44" t="b">
        <v>1</v>
      </c>
      <c r="G42" s="44" t="s">
        <v>35</v>
      </c>
      <c r="H42" s="44" t="s">
        <v>143</v>
      </c>
      <c r="I42" s="44" t="s">
        <v>142</v>
      </c>
      <c r="J42" s="2" t="s">
        <v>183</v>
      </c>
      <c r="K42" s="44" t="s">
        <v>306</v>
      </c>
      <c r="L42" s="44">
        <v>10</v>
      </c>
      <c r="M42" s="44" t="s">
        <v>145</v>
      </c>
      <c r="N42" s="44">
        <v>1</v>
      </c>
      <c r="O42" s="44">
        <v>10</v>
      </c>
      <c r="P42" s="44">
        <v>10</v>
      </c>
      <c r="Q42" s="44">
        <v>10</v>
      </c>
      <c r="R42" s="44" t="s">
        <v>152</v>
      </c>
      <c r="S42" s="44" t="s">
        <v>19</v>
      </c>
      <c r="T42" s="44" t="s">
        <v>20</v>
      </c>
      <c r="U42" s="44" t="s">
        <v>20</v>
      </c>
      <c r="V42" s="44" t="s">
        <v>20</v>
      </c>
      <c r="W42" s="44">
        <v>2</v>
      </c>
      <c r="X42" s="44" t="s">
        <v>20</v>
      </c>
      <c r="Y42" s="44" t="s">
        <v>35</v>
      </c>
      <c r="Z42" s="47" t="s">
        <v>23</v>
      </c>
      <c r="AA42" s="44" t="s">
        <v>21</v>
      </c>
      <c r="AB42" s="44" t="s">
        <v>22</v>
      </c>
      <c r="AC42" s="44" t="s">
        <v>35</v>
      </c>
      <c r="AD42" s="44" t="s">
        <v>158</v>
      </c>
      <c r="AE42" s="44" t="s">
        <v>159</v>
      </c>
      <c r="AF42" s="44" t="s">
        <v>160</v>
      </c>
      <c r="AG42" s="44" t="s">
        <v>161</v>
      </c>
      <c r="AH42" s="44">
        <v>55055</v>
      </c>
      <c r="AI42" s="47" t="s">
        <v>266</v>
      </c>
      <c r="AJ42" s="47" t="s">
        <v>212</v>
      </c>
      <c r="AK42" s="44"/>
    </row>
    <row r="43" spans="1:37">
      <c r="A43" s="2" t="str">
        <f t="shared" si="0"/>
        <v>createAndConfirmAdvanceBookingValuables_SAFE_Valuelessthan25000USD_International</v>
      </c>
      <c r="B43" s="2" t="s">
        <v>87</v>
      </c>
      <c r="C43" s="2" t="s">
        <v>185</v>
      </c>
      <c r="D43" s="46" t="s">
        <v>125</v>
      </c>
      <c r="E43" s="44" t="s">
        <v>124</v>
      </c>
      <c r="F43" s="44" t="b">
        <v>1</v>
      </c>
      <c r="G43" s="44" t="s">
        <v>35</v>
      </c>
      <c r="H43" s="44" t="s">
        <v>143</v>
      </c>
      <c r="I43" s="44" t="s">
        <v>142</v>
      </c>
      <c r="J43" s="2" t="s">
        <v>184</v>
      </c>
      <c r="K43" s="44" t="s">
        <v>306</v>
      </c>
      <c r="L43" s="44">
        <v>10</v>
      </c>
      <c r="M43" s="44" t="s">
        <v>145</v>
      </c>
      <c r="N43" s="44">
        <v>1</v>
      </c>
      <c r="O43" s="44">
        <v>10</v>
      </c>
      <c r="P43" s="44">
        <v>10</v>
      </c>
      <c r="Q43" s="44">
        <v>10</v>
      </c>
      <c r="R43" s="44" t="s">
        <v>152</v>
      </c>
      <c r="S43" s="44" t="s">
        <v>19</v>
      </c>
      <c r="T43" s="44" t="s">
        <v>20</v>
      </c>
      <c r="U43" s="44" t="s">
        <v>20</v>
      </c>
      <c r="V43" s="44" t="s">
        <v>20</v>
      </c>
      <c r="W43" s="44">
        <v>2</v>
      </c>
      <c r="X43" s="44" t="s">
        <v>20</v>
      </c>
      <c r="Y43" s="44" t="s">
        <v>35</v>
      </c>
      <c r="Z43" s="47" t="s">
        <v>23</v>
      </c>
      <c r="AA43" s="44" t="s">
        <v>21</v>
      </c>
      <c r="AB43" s="44" t="s">
        <v>22</v>
      </c>
      <c r="AC43" s="44" t="s">
        <v>35</v>
      </c>
      <c r="AD43" s="44" t="s">
        <v>158</v>
      </c>
      <c r="AE43" s="44" t="s">
        <v>159</v>
      </c>
      <c r="AF43" s="44" t="s">
        <v>160</v>
      </c>
      <c r="AG43" s="44" t="s">
        <v>161</v>
      </c>
      <c r="AH43" s="44">
        <v>55055</v>
      </c>
      <c r="AI43" s="47" t="s">
        <v>266</v>
      </c>
      <c r="AJ43" s="47" t="s">
        <v>212</v>
      </c>
      <c r="AK43" s="44"/>
    </row>
    <row r="44" spans="1:37">
      <c r="A44" s="2" t="str">
        <f t="shared" si="0"/>
        <v>createAndConfirmAdvanceBookingHuman_Remains_DELTA_CARES_Adult_Domestic</v>
      </c>
      <c r="B44" s="2" t="s">
        <v>89</v>
      </c>
      <c r="C44" s="2" t="s">
        <v>189</v>
      </c>
      <c r="D44" s="46" t="s">
        <v>125</v>
      </c>
      <c r="E44" s="44" t="s">
        <v>124</v>
      </c>
      <c r="F44" s="44" t="b">
        <v>1</v>
      </c>
      <c r="G44" s="44" t="s">
        <v>35</v>
      </c>
      <c r="H44" s="44" t="s">
        <v>143</v>
      </c>
      <c r="I44" s="44" t="s">
        <v>142</v>
      </c>
      <c r="J44" s="2" t="s">
        <v>186</v>
      </c>
      <c r="K44" s="44" t="s">
        <v>408</v>
      </c>
      <c r="L44" s="44">
        <v>10</v>
      </c>
      <c r="M44" s="44" t="s">
        <v>145</v>
      </c>
      <c r="N44" s="44">
        <v>1</v>
      </c>
      <c r="O44" s="44">
        <v>10</v>
      </c>
      <c r="P44" s="44">
        <v>10</v>
      </c>
      <c r="Q44" s="44">
        <v>10</v>
      </c>
      <c r="R44" s="44" t="s">
        <v>152</v>
      </c>
      <c r="S44" s="44" t="s">
        <v>19</v>
      </c>
      <c r="T44" s="44" t="s">
        <v>20</v>
      </c>
      <c r="U44" s="44" t="s">
        <v>20</v>
      </c>
      <c r="V44" s="44" t="s">
        <v>20</v>
      </c>
      <c r="W44" s="44">
        <v>2</v>
      </c>
      <c r="X44" s="44" t="s">
        <v>20</v>
      </c>
      <c r="Y44" s="44" t="s">
        <v>35</v>
      </c>
      <c r="Z44" s="47" t="s">
        <v>23</v>
      </c>
      <c r="AA44" s="44" t="s">
        <v>21</v>
      </c>
      <c r="AB44" s="44" t="s">
        <v>22</v>
      </c>
      <c r="AC44" s="44" t="s">
        <v>35</v>
      </c>
      <c r="AD44" s="44" t="s">
        <v>158</v>
      </c>
      <c r="AE44" s="44" t="s">
        <v>159</v>
      </c>
      <c r="AF44" s="44" t="s">
        <v>160</v>
      </c>
      <c r="AG44" s="44" t="s">
        <v>161</v>
      </c>
      <c r="AH44" s="44">
        <v>55055</v>
      </c>
      <c r="AI44" s="47" t="s">
        <v>106</v>
      </c>
      <c r="AJ44" s="47" t="s">
        <v>208</v>
      </c>
      <c r="AK44" s="44"/>
    </row>
    <row r="45" spans="1:37">
      <c r="A45" s="2" t="str">
        <f t="shared" si="0"/>
        <v>createAndConfirmAdvanceBookingHuman_Remains_DELTA_CARES_ChildInfant_Domestic</v>
      </c>
      <c r="B45" s="2" t="s">
        <v>89</v>
      </c>
      <c r="C45" s="2" t="s">
        <v>189</v>
      </c>
      <c r="D45" s="46" t="s">
        <v>125</v>
      </c>
      <c r="E45" s="44" t="s">
        <v>124</v>
      </c>
      <c r="F45" s="44" t="b">
        <v>1</v>
      </c>
      <c r="G45" s="44" t="s">
        <v>35</v>
      </c>
      <c r="H45" s="44" t="s">
        <v>143</v>
      </c>
      <c r="I45" s="44" t="s">
        <v>142</v>
      </c>
      <c r="J45" s="2" t="s">
        <v>187</v>
      </c>
      <c r="K45" s="44" t="s">
        <v>408</v>
      </c>
      <c r="L45" s="44">
        <v>10</v>
      </c>
      <c r="M45" s="44" t="s">
        <v>145</v>
      </c>
      <c r="N45" s="44">
        <v>1</v>
      </c>
      <c r="O45" s="44">
        <v>10</v>
      </c>
      <c r="P45" s="44">
        <v>10</v>
      </c>
      <c r="Q45" s="44">
        <v>10</v>
      </c>
      <c r="R45" s="44" t="s">
        <v>152</v>
      </c>
      <c r="S45" s="44" t="s">
        <v>19</v>
      </c>
      <c r="T45" s="44" t="s">
        <v>20</v>
      </c>
      <c r="U45" s="44" t="s">
        <v>20</v>
      </c>
      <c r="V45" s="44" t="s">
        <v>20</v>
      </c>
      <c r="W45" s="44">
        <v>2</v>
      </c>
      <c r="X45" s="44" t="s">
        <v>20</v>
      </c>
      <c r="Y45" s="44" t="s">
        <v>35</v>
      </c>
      <c r="Z45" s="47" t="s">
        <v>23</v>
      </c>
      <c r="AA45" s="44" t="s">
        <v>21</v>
      </c>
      <c r="AB45" s="44" t="s">
        <v>22</v>
      </c>
      <c r="AC45" s="44" t="s">
        <v>35</v>
      </c>
      <c r="AD45" s="44" t="s">
        <v>158</v>
      </c>
      <c r="AE45" s="44" t="s">
        <v>159</v>
      </c>
      <c r="AF45" s="44" t="s">
        <v>160</v>
      </c>
      <c r="AG45" s="44" t="s">
        <v>161</v>
      </c>
      <c r="AH45" s="44">
        <v>55055</v>
      </c>
      <c r="AI45" s="47" t="s">
        <v>106</v>
      </c>
      <c r="AJ45" s="47" t="s">
        <v>208</v>
      </c>
      <c r="AK45" s="44"/>
    </row>
    <row r="46" spans="1:37">
      <c r="A46" s="2" t="str">
        <f t="shared" si="0"/>
        <v>createAndConfirmAdvanceBookingHuman_Remains_DELTA_CARES_CrematedRemains_Domestic</v>
      </c>
      <c r="B46" s="2" t="s">
        <v>89</v>
      </c>
      <c r="C46" s="2" t="s">
        <v>189</v>
      </c>
      <c r="D46" s="46" t="s">
        <v>125</v>
      </c>
      <c r="E46" s="44" t="s">
        <v>124</v>
      </c>
      <c r="F46" s="44" t="b">
        <v>1</v>
      </c>
      <c r="G46" s="44" t="s">
        <v>35</v>
      </c>
      <c r="H46" s="44" t="s">
        <v>143</v>
      </c>
      <c r="I46" s="44" t="s">
        <v>142</v>
      </c>
      <c r="J46" s="2" t="s">
        <v>188</v>
      </c>
      <c r="K46" s="44" t="s">
        <v>408</v>
      </c>
      <c r="L46" s="44">
        <v>10</v>
      </c>
      <c r="M46" s="44" t="s">
        <v>145</v>
      </c>
      <c r="N46" s="44">
        <v>1</v>
      </c>
      <c r="O46" s="44">
        <v>10</v>
      </c>
      <c r="P46" s="44">
        <v>10</v>
      </c>
      <c r="Q46" s="44">
        <v>10</v>
      </c>
      <c r="R46" s="44" t="s">
        <v>152</v>
      </c>
      <c r="S46" s="44" t="s">
        <v>19</v>
      </c>
      <c r="T46" s="44" t="s">
        <v>20</v>
      </c>
      <c r="U46" s="44" t="s">
        <v>20</v>
      </c>
      <c r="V46" s="44" t="s">
        <v>20</v>
      </c>
      <c r="W46" s="44">
        <v>2</v>
      </c>
      <c r="X46" s="44" t="s">
        <v>20</v>
      </c>
      <c r="Y46" s="44" t="s">
        <v>35</v>
      </c>
      <c r="Z46" s="47" t="s">
        <v>23</v>
      </c>
      <c r="AA46" s="44" t="s">
        <v>21</v>
      </c>
      <c r="AB46" s="44" t="s">
        <v>22</v>
      </c>
      <c r="AC46" s="44" t="s">
        <v>35</v>
      </c>
      <c r="AD46" s="44" t="s">
        <v>158</v>
      </c>
      <c r="AE46" s="44" t="s">
        <v>159</v>
      </c>
      <c r="AF46" s="44" t="s">
        <v>160</v>
      </c>
      <c r="AG46" s="44" t="s">
        <v>161</v>
      </c>
      <c r="AH46" s="44">
        <v>55055</v>
      </c>
      <c r="AI46" s="47" t="s">
        <v>106</v>
      </c>
      <c r="AJ46" s="47" t="s">
        <v>208</v>
      </c>
      <c r="AK46" s="44"/>
    </row>
    <row r="47" spans="1:37">
      <c r="A47" s="2" t="str">
        <f t="shared" si="0"/>
        <v>createAndConfirmAdvanceBookingHuman_Remains_DELTA_CARES_Adult_International</v>
      </c>
      <c r="B47" s="2" t="s">
        <v>89</v>
      </c>
      <c r="C47" s="2" t="s">
        <v>189</v>
      </c>
      <c r="D47" s="46" t="s">
        <v>125</v>
      </c>
      <c r="E47" s="44" t="s">
        <v>124</v>
      </c>
      <c r="F47" s="44" t="b">
        <v>1</v>
      </c>
      <c r="G47" s="44" t="s">
        <v>35</v>
      </c>
      <c r="H47" s="44" t="s">
        <v>143</v>
      </c>
      <c r="I47" s="44" t="s">
        <v>142</v>
      </c>
      <c r="J47" s="2" t="s">
        <v>186</v>
      </c>
      <c r="K47" s="44" t="s">
        <v>408</v>
      </c>
      <c r="L47" s="44">
        <v>10</v>
      </c>
      <c r="M47" s="44" t="s">
        <v>145</v>
      </c>
      <c r="N47" s="44">
        <v>1</v>
      </c>
      <c r="O47" s="44">
        <v>10</v>
      </c>
      <c r="P47" s="44">
        <v>10</v>
      </c>
      <c r="Q47" s="44">
        <v>10</v>
      </c>
      <c r="R47" s="44" t="s">
        <v>152</v>
      </c>
      <c r="S47" s="44" t="s">
        <v>19</v>
      </c>
      <c r="T47" s="44" t="s">
        <v>20</v>
      </c>
      <c r="U47" s="44" t="s">
        <v>20</v>
      </c>
      <c r="V47" s="44" t="s">
        <v>20</v>
      </c>
      <c r="W47" s="44">
        <v>2</v>
      </c>
      <c r="X47" s="44" t="s">
        <v>20</v>
      </c>
      <c r="Y47" s="44" t="s">
        <v>35</v>
      </c>
      <c r="Z47" s="47" t="s">
        <v>23</v>
      </c>
      <c r="AA47" s="44" t="s">
        <v>21</v>
      </c>
      <c r="AB47" s="44" t="s">
        <v>22</v>
      </c>
      <c r="AC47" s="44" t="s">
        <v>35</v>
      </c>
      <c r="AD47" s="44" t="s">
        <v>158</v>
      </c>
      <c r="AE47" s="44" t="s">
        <v>159</v>
      </c>
      <c r="AF47" s="44" t="s">
        <v>160</v>
      </c>
      <c r="AG47" s="44" t="s">
        <v>161</v>
      </c>
      <c r="AH47" s="44">
        <v>55055</v>
      </c>
      <c r="AI47" s="47" t="s">
        <v>266</v>
      </c>
      <c r="AJ47" s="47" t="s">
        <v>212</v>
      </c>
      <c r="AK47" s="44"/>
    </row>
    <row r="48" spans="1:37">
      <c r="A48" s="2" t="str">
        <f t="shared" si="0"/>
        <v>createAndConfirmAdvanceBookingHuman_Remains_DELTA_CARES_ChildInfant_International</v>
      </c>
      <c r="B48" s="2" t="s">
        <v>89</v>
      </c>
      <c r="C48" s="2" t="s">
        <v>189</v>
      </c>
      <c r="D48" s="46" t="s">
        <v>125</v>
      </c>
      <c r="E48" s="44" t="s">
        <v>124</v>
      </c>
      <c r="F48" s="44" t="b">
        <v>1</v>
      </c>
      <c r="G48" s="44" t="s">
        <v>35</v>
      </c>
      <c r="H48" s="44" t="s">
        <v>143</v>
      </c>
      <c r="I48" s="44" t="s">
        <v>142</v>
      </c>
      <c r="J48" s="2" t="s">
        <v>187</v>
      </c>
      <c r="K48" s="44" t="s">
        <v>408</v>
      </c>
      <c r="L48" s="44">
        <v>10</v>
      </c>
      <c r="M48" s="44" t="s">
        <v>145</v>
      </c>
      <c r="N48" s="44">
        <v>1</v>
      </c>
      <c r="O48" s="44">
        <v>10</v>
      </c>
      <c r="P48" s="44">
        <v>10</v>
      </c>
      <c r="Q48" s="44">
        <v>10</v>
      </c>
      <c r="R48" s="44" t="s">
        <v>152</v>
      </c>
      <c r="S48" s="44" t="s">
        <v>19</v>
      </c>
      <c r="T48" s="44" t="s">
        <v>20</v>
      </c>
      <c r="U48" s="44" t="s">
        <v>20</v>
      </c>
      <c r="V48" s="44" t="s">
        <v>20</v>
      </c>
      <c r="W48" s="44">
        <v>2</v>
      </c>
      <c r="X48" s="44" t="s">
        <v>20</v>
      </c>
      <c r="Y48" s="44" t="s">
        <v>35</v>
      </c>
      <c r="Z48" s="47" t="s">
        <v>23</v>
      </c>
      <c r="AA48" s="44" t="s">
        <v>21</v>
      </c>
      <c r="AB48" s="44" t="s">
        <v>22</v>
      </c>
      <c r="AC48" s="44" t="s">
        <v>35</v>
      </c>
      <c r="AD48" s="44" t="s">
        <v>158</v>
      </c>
      <c r="AE48" s="44" t="s">
        <v>159</v>
      </c>
      <c r="AF48" s="44" t="s">
        <v>160</v>
      </c>
      <c r="AG48" s="44" t="s">
        <v>161</v>
      </c>
      <c r="AH48" s="44">
        <v>55055</v>
      </c>
      <c r="AI48" s="47" t="s">
        <v>266</v>
      </c>
      <c r="AJ48" s="47" t="s">
        <v>212</v>
      </c>
      <c r="AK48" s="44"/>
    </row>
    <row r="49" spans="1:37">
      <c r="A49" s="2" t="str">
        <f t="shared" si="0"/>
        <v>createAndConfirmAdvanceBookingHuman_Remains_DELTA_CARES_CrematedRemains_International</v>
      </c>
      <c r="B49" s="2" t="s">
        <v>89</v>
      </c>
      <c r="C49" s="2" t="s">
        <v>189</v>
      </c>
      <c r="D49" s="46" t="s">
        <v>125</v>
      </c>
      <c r="E49" s="44" t="s">
        <v>124</v>
      </c>
      <c r="F49" s="44" t="b">
        <v>1</v>
      </c>
      <c r="G49" s="44" t="s">
        <v>35</v>
      </c>
      <c r="H49" s="44" t="s">
        <v>143</v>
      </c>
      <c r="I49" s="44" t="s">
        <v>142</v>
      </c>
      <c r="J49" s="2" t="s">
        <v>188</v>
      </c>
      <c r="K49" s="44" t="s">
        <v>408</v>
      </c>
      <c r="L49" s="44">
        <v>10</v>
      </c>
      <c r="M49" s="44" t="s">
        <v>145</v>
      </c>
      <c r="N49" s="44">
        <v>1</v>
      </c>
      <c r="O49" s="44">
        <v>10</v>
      </c>
      <c r="P49" s="44">
        <v>10</v>
      </c>
      <c r="Q49" s="44">
        <v>10</v>
      </c>
      <c r="R49" s="44" t="s">
        <v>152</v>
      </c>
      <c r="S49" s="44" t="s">
        <v>19</v>
      </c>
      <c r="T49" s="44" t="s">
        <v>20</v>
      </c>
      <c r="U49" s="44" t="s">
        <v>20</v>
      </c>
      <c r="V49" s="44" t="s">
        <v>20</v>
      </c>
      <c r="W49" s="44">
        <v>2</v>
      </c>
      <c r="X49" s="44" t="s">
        <v>20</v>
      </c>
      <c r="Y49" s="44" t="s">
        <v>35</v>
      </c>
      <c r="Z49" s="47" t="s">
        <v>23</v>
      </c>
      <c r="AA49" s="44" t="s">
        <v>21</v>
      </c>
      <c r="AB49" s="44" t="s">
        <v>22</v>
      </c>
      <c r="AC49" s="44" t="s">
        <v>35</v>
      </c>
      <c r="AD49" s="44" t="s">
        <v>158</v>
      </c>
      <c r="AE49" s="44" t="s">
        <v>159</v>
      </c>
      <c r="AF49" s="44" t="s">
        <v>160</v>
      </c>
      <c r="AG49" s="44" t="s">
        <v>161</v>
      </c>
      <c r="AH49" s="44">
        <v>55055</v>
      </c>
      <c r="AI49" s="47" t="s">
        <v>266</v>
      </c>
      <c r="AJ49" s="47" t="s">
        <v>212</v>
      </c>
      <c r="AK49" s="44"/>
    </row>
    <row r="50" spans="1:37">
      <c r="A50" s="2" t="str">
        <f t="shared" si="0"/>
        <v>createAndConfirmAdvanceBookingLiveAnimals_LIVE_Bird_Domestic</v>
      </c>
      <c r="B50" s="2" t="s">
        <v>209</v>
      </c>
      <c r="C50" s="2" t="s">
        <v>223</v>
      </c>
      <c r="D50" s="46" t="s">
        <v>125</v>
      </c>
      <c r="E50" s="44" t="s">
        <v>124</v>
      </c>
      <c r="F50" s="44" t="b">
        <v>1</v>
      </c>
      <c r="G50" s="44" t="s">
        <v>35</v>
      </c>
      <c r="H50" s="44" t="s">
        <v>143</v>
      </c>
      <c r="I50" s="44" t="s">
        <v>142</v>
      </c>
      <c r="J50" s="2" t="s">
        <v>216</v>
      </c>
      <c r="K50" s="44" t="s">
        <v>301</v>
      </c>
      <c r="L50" s="44">
        <v>10</v>
      </c>
      <c r="M50" s="44" t="s">
        <v>145</v>
      </c>
      <c r="N50" s="44">
        <v>1</v>
      </c>
      <c r="O50" s="44">
        <v>10</v>
      </c>
      <c r="P50" s="44">
        <v>10</v>
      </c>
      <c r="Q50" s="44">
        <v>10</v>
      </c>
      <c r="R50" s="44" t="s">
        <v>152</v>
      </c>
      <c r="S50" s="44" t="s">
        <v>19</v>
      </c>
      <c r="T50" s="44" t="s">
        <v>20</v>
      </c>
      <c r="U50" s="44" t="s">
        <v>20</v>
      </c>
      <c r="V50" s="44" t="s">
        <v>20</v>
      </c>
      <c r="W50" s="44">
        <v>2</v>
      </c>
      <c r="X50" s="44" t="s">
        <v>20</v>
      </c>
      <c r="Y50" s="44" t="s">
        <v>35</v>
      </c>
      <c r="Z50" s="47" t="s">
        <v>23</v>
      </c>
      <c r="AA50" s="44" t="s">
        <v>21</v>
      </c>
      <c r="AB50" s="44" t="s">
        <v>22</v>
      </c>
      <c r="AC50" s="44" t="s">
        <v>35</v>
      </c>
      <c r="AD50" s="44" t="s">
        <v>158</v>
      </c>
      <c r="AE50" s="44" t="s">
        <v>159</v>
      </c>
      <c r="AF50" s="44" t="s">
        <v>160</v>
      </c>
      <c r="AG50" s="44" t="s">
        <v>161</v>
      </c>
      <c r="AH50" s="44">
        <v>55055</v>
      </c>
      <c r="AI50" s="47" t="s">
        <v>106</v>
      </c>
      <c r="AJ50" s="47" t="s">
        <v>208</v>
      </c>
      <c r="AK50" s="44"/>
    </row>
    <row r="51" spans="1:37">
      <c r="A51" s="2" t="str">
        <f t="shared" si="0"/>
        <v>createAndConfirmAdvanceBookingLiveAnimals_LIVE_DayOldChicks_Domestic</v>
      </c>
      <c r="B51" s="2" t="s">
        <v>209</v>
      </c>
      <c r="C51" s="2" t="s">
        <v>223</v>
      </c>
      <c r="D51" s="46" t="s">
        <v>125</v>
      </c>
      <c r="E51" s="44" t="s">
        <v>124</v>
      </c>
      <c r="F51" s="44" t="b">
        <v>1</v>
      </c>
      <c r="G51" s="44" t="s">
        <v>35</v>
      </c>
      <c r="H51" s="44" t="s">
        <v>143</v>
      </c>
      <c r="I51" s="44" t="s">
        <v>142</v>
      </c>
      <c r="J51" s="2" t="s">
        <v>217</v>
      </c>
      <c r="K51" s="44" t="s">
        <v>301</v>
      </c>
      <c r="L51" s="44">
        <v>10</v>
      </c>
      <c r="M51" s="44" t="s">
        <v>145</v>
      </c>
      <c r="N51" s="44">
        <v>1</v>
      </c>
      <c r="O51" s="44">
        <v>10</v>
      </c>
      <c r="P51" s="44">
        <v>10</v>
      </c>
      <c r="Q51" s="44">
        <v>10</v>
      </c>
      <c r="R51" s="44" t="s">
        <v>152</v>
      </c>
      <c r="S51" s="44" t="s">
        <v>19</v>
      </c>
      <c r="T51" s="44" t="s">
        <v>20</v>
      </c>
      <c r="U51" s="44" t="s">
        <v>20</v>
      </c>
      <c r="V51" s="44" t="s">
        <v>20</v>
      </c>
      <c r="W51" s="44">
        <v>2</v>
      </c>
      <c r="X51" s="44" t="s">
        <v>20</v>
      </c>
      <c r="Y51" s="44" t="s">
        <v>35</v>
      </c>
      <c r="Z51" s="47" t="s">
        <v>23</v>
      </c>
      <c r="AA51" s="44" t="s">
        <v>21</v>
      </c>
      <c r="AB51" s="44" t="s">
        <v>22</v>
      </c>
      <c r="AC51" s="44" t="s">
        <v>35</v>
      </c>
      <c r="AD51" s="44" t="s">
        <v>158</v>
      </c>
      <c r="AE51" s="44" t="s">
        <v>159</v>
      </c>
      <c r="AF51" s="44" t="s">
        <v>160</v>
      </c>
      <c r="AG51" s="44" t="s">
        <v>161</v>
      </c>
      <c r="AH51" s="44">
        <v>55055</v>
      </c>
      <c r="AI51" s="47" t="s">
        <v>106</v>
      </c>
      <c r="AJ51" s="47" t="s">
        <v>208</v>
      </c>
      <c r="AK51" s="44"/>
    </row>
    <row r="52" spans="1:37">
      <c r="A52" s="2" t="str">
        <f t="shared" si="0"/>
        <v>createAndConfirmAdvanceBookingLiveAnimals_LIVE_LabAnimalse.g.Mice_Domestic</v>
      </c>
      <c r="B52" s="2" t="s">
        <v>209</v>
      </c>
      <c r="C52" s="2" t="s">
        <v>223</v>
      </c>
      <c r="D52" s="46" t="s">
        <v>125</v>
      </c>
      <c r="E52" s="44" t="s">
        <v>124</v>
      </c>
      <c r="F52" s="44" t="b">
        <v>1</v>
      </c>
      <c r="G52" s="44" t="s">
        <v>35</v>
      </c>
      <c r="H52" s="44" t="s">
        <v>143</v>
      </c>
      <c r="I52" s="44" t="s">
        <v>142</v>
      </c>
      <c r="J52" s="2" t="s">
        <v>218</v>
      </c>
      <c r="K52" s="44" t="s">
        <v>301</v>
      </c>
      <c r="L52" s="44">
        <v>10</v>
      </c>
      <c r="M52" s="44" t="s">
        <v>145</v>
      </c>
      <c r="N52" s="44">
        <v>1</v>
      </c>
      <c r="O52" s="44">
        <v>10</v>
      </c>
      <c r="P52" s="44">
        <v>10</v>
      </c>
      <c r="Q52" s="44">
        <v>10</v>
      </c>
      <c r="R52" s="44" t="s">
        <v>152</v>
      </c>
      <c r="S52" s="44" t="s">
        <v>19</v>
      </c>
      <c r="T52" s="44" t="s">
        <v>20</v>
      </c>
      <c r="U52" s="44" t="s">
        <v>20</v>
      </c>
      <c r="V52" s="44" t="s">
        <v>20</v>
      </c>
      <c r="W52" s="44">
        <v>2</v>
      </c>
      <c r="X52" s="44" t="s">
        <v>20</v>
      </c>
      <c r="Y52" s="44" t="s">
        <v>35</v>
      </c>
      <c r="Z52" s="47" t="s">
        <v>23</v>
      </c>
      <c r="AA52" s="44" t="s">
        <v>21</v>
      </c>
      <c r="AB52" s="44" t="s">
        <v>22</v>
      </c>
      <c r="AC52" s="44" t="s">
        <v>35</v>
      </c>
      <c r="AD52" s="44" t="s">
        <v>158</v>
      </c>
      <c r="AE52" s="44" t="s">
        <v>159</v>
      </c>
      <c r="AF52" s="44" t="s">
        <v>160</v>
      </c>
      <c r="AG52" s="44" t="s">
        <v>161</v>
      </c>
      <c r="AH52" s="44">
        <v>55055</v>
      </c>
      <c r="AI52" s="47" t="s">
        <v>106</v>
      </c>
      <c r="AJ52" s="47" t="s">
        <v>208</v>
      </c>
      <c r="AK52" s="44"/>
    </row>
    <row r="53" spans="1:37">
      <c r="A53" s="2" t="str">
        <f t="shared" si="0"/>
        <v>createAndConfirmAdvanceBookingLiveAnimals_LIVE_OtherWarmBloodedAnimal_Domestic</v>
      </c>
      <c r="B53" s="2" t="s">
        <v>209</v>
      </c>
      <c r="C53" s="2" t="s">
        <v>223</v>
      </c>
      <c r="D53" s="46" t="s">
        <v>125</v>
      </c>
      <c r="E53" s="44" t="s">
        <v>124</v>
      </c>
      <c r="F53" s="44" t="b">
        <v>1</v>
      </c>
      <c r="G53" s="44" t="s">
        <v>35</v>
      </c>
      <c r="H53" s="44" t="s">
        <v>143</v>
      </c>
      <c r="I53" s="44" t="s">
        <v>142</v>
      </c>
      <c r="J53" s="2" t="s">
        <v>219</v>
      </c>
      <c r="K53" s="44" t="s">
        <v>301</v>
      </c>
      <c r="L53" s="44">
        <v>10</v>
      </c>
      <c r="M53" s="44" t="s">
        <v>145</v>
      </c>
      <c r="N53" s="44">
        <v>1</v>
      </c>
      <c r="O53" s="44">
        <v>10</v>
      </c>
      <c r="P53" s="44">
        <v>10</v>
      </c>
      <c r="Q53" s="44">
        <v>10</v>
      </c>
      <c r="R53" s="44" t="s">
        <v>152</v>
      </c>
      <c r="S53" s="44" t="s">
        <v>19</v>
      </c>
      <c r="T53" s="44" t="s">
        <v>20</v>
      </c>
      <c r="U53" s="44" t="s">
        <v>20</v>
      </c>
      <c r="V53" s="44" t="s">
        <v>20</v>
      </c>
      <c r="W53" s="44">
        <v>2</v>
      </c>
      <c r="X53" s="44" t="s">
        <v>20</v>
      </c>
      <c r="Y53" s="44" t="s">
        <v>35</v>
      </c>
      <c r="Z53" s="47" t="s">
        <v>23</v>
      </c>
      <c r="AA53" s="44" t="s">
        <v>21</v>
      </c>
      <c r="AB53" s="44" t="s">
        <v>22</v>
      </c>
      <c r="AC53" s="44" t="s">
        <v>35</v>
      </c>
      <c r="AD53" s="44" t="s">
        <v>158</v>
      </c>
      <c r="AE53" s="44" t="s">
        <v>159</v>
      </c>
      <c r="AF53" s="44" t="s">
        <v>160</v>
      </c>
      <c r="AG53" s="44" t="s">
        <v>161</v>
      </c>
      <c r="AH53" s="44">
        <v>55055</v>
      </c>
      <c r="AI53" s="47" t="s">
        <v>106</v>
      </c>
      <c r="AJ53" s="47" t="s">
        <v>208</v>
      </c>
      <c r="AK53" s="44"/>
    </row>
    <row r="54" spans="1:37">
      <c r="A54" s="2" t="str">
        <f t="shared" si="0"/>
        <v>createAndConfirmAdvanceBookingLiveAnimals_LIVE_ReptileAmphibianetc._Domestic</v>
      </c>
      <c r="B54" s="2" t="s">
        <v>209</v>
      </c>
      <c r="C54" s="2" t="s">
        <v>223</v>
      </c>
      <c r="D54" s="46" t="s">
        <v>125</v>
      </c>
      <c r="E54" s="44" t="s">
        <v>124</v>
      </c>
      <c r="F54" s="44" t="b">
        <v>1</v>
      </c>
      <c r="G54" s="44" t="s">
        <v>35</v>
      </c>
      <c r="H54" s="44" t="s">
        <v>143</v>
      </c>
      <c r="I54" s="44" t="s">
        <v>142</v>
      </c>
      <c r="J54" s="2" t="s">
        <v>220</v>
      </c>
      <c r="K54" s="44" t="s">
        <v>301</v>
      </c>
      <c r="L54" s="44">
        <v>10</v>
      </c>
      <c r="M54" s="44" t="s">
        <v>145</v>
      </c>
      <c r="N54" s="44">
        <v>1</v>
      </c>
      <c r="O54" s="44">
        <v>10</v>
      </c>
      <c r="P54" s="44">
        <v>10</v>
      </c>
      <c r="Q54" s="44">
        <v>10</v>
      </c>
      <c r="R54" s="44" t="s">
        <v>152</v>
      </c>
      <c r="S54" s="44" t="s">
        <v>19</v>
      </c>
      <c r="T54" s="44" t="s">
        <v>20</v>
      </c>
      <c r="U54" s="44" t="s">
        <v>20</v>
      </c>
      <c r="V54" s="44" t="s">
        <v>20</v>
      </c>
      <c r="W54" s="44">
        <v>2</v>
      </c>
      <c r="X54" s="44" t="s">
        <v>20</v>
      </c>
      <c r="Y54" s="44" t="s">
        <v>35</v>
      </c>
      <c r="Z54" s="47" t="s">
        <v>23</v>
      </c>
      <c r="AA54" s="44" t="s">
        <v>21</v>
      </c>
      <c r="AB54" s="44" t="s">
        <v>22</v>
      </c>
      <c r="AC54" s="44" t="s">
        <v>35</v>
      </c>
      <c r="AD54" s="44" t="s">
        <v>158</v>
      </c>
      <c r="AE54" s="44" t="s">
        <v>159</v>
      </c>
      <c r="AF54" s="44" t="s">
        <v>160</v>
      </c>
      <c r="AG54" s="44" t="s">
        <v>161</v>
      </c>
      <c r="AH54" s="44">
        <v>55055</v>
      </c>
      <c r="AI54" s="47" t="s">
        <v>106</v>
      </c>
      <c r="AJ54" s="47" t="s">
        <v>208</v>
      </c>
      <c r="AK54" s="44"/>
    </row>
    <row r="55" spans="1:37">
      <c r="A55" s="2" t="str">
        <f t="shared" si="0"/>
        <v>createAndConfirmAdvanceBookingLiveAnimals_LIVE_TropicalFish_Domestic</v>
      </c>
      <c r="B55" s="2" t="s">
        <v>209</v>
      </c>
      <c r="C55" s="2" t="s">
        <v>223</v>
      </c>
      <c r="D55" s="46" t="s">
        <v>125</v>
      </c>
      <c r="E55" s="44" t="s">
        <v>124</v>
      </c>
      <c r="F55" s="44" t="b">
        <v>1</v>
      </c>
      <c r="G55" s="44" t="s">
        <v>35</v>
      </c>
      <c r="H55" s="44" t="s">
        <v>143</v>
      </c>
      <c r="I55" s="44" t="s">
        <v>142</v>
      </c>
      <c r="J55" s="2" t="s">
        <v>221</v>
      </c>
      <c r="K55" s="44" t="s">
        <v>301</v>
      </c>
      <c r="L55" s="44">
        <v>10</v>
      </c>
      <c r="M55" s="44" t="s">
        <v>145</v>
      </c>
      <c r="N55" s="44">
        <v>1</v>
      </c>
      <c r="O55" s="44">
        <v>10</v>
      </c>
      <c r="P55" s="44">
        <v>10</v>
      </c>
      <c r="Q55" s="44">
        <v>10</v>
      </c>
      <c r="R55" s="44" t="s">
        <v>152</v>
      </c>
      <c r="S55" s="44" t="s">
        <v>19</v>
      </c>
      <c r="T55" s="44" t="s">
        <v>20</v>
      </c>
      <c r="U55" s="44" t="s">
        <v>20</v>
      </c>
      <c r="V55" s="44" t="s">
        <v>20</v>
      </c>
      <c r="W55" s="44">
        <v>2</v>
      </c>
      <c r="X55" s="44" t="s">
        <v>20</v>
      </c>
      <c r="Y55" s="44" t="s">
        <v>35</v>
      </c>
      <c r="Z55" s="47" t="s">
        <v>23</v>
      </c>
      <c r="AA55" s="44" t="s">
        <v>21</v>
      </c>
      <c r="AB55" s="44" t="s">
        <v>22</v>
      </c>
      <c r="AC55" s="44" t="s">
        <v>35</v>
      </c>
      <c r="AD55" s="44" t="s">
        <v>158</v>
      </c>
      <c r="AE55" s="44" t="s">
        <v>159</v>
      </c>
      <c r="AF55" s="44" t="s">
        <v>160</v>
      </c>
      <c r="AG55" s="44" t="s">
        <v>161</v>
      </c>
      <c r="AH55" s="44">
        <v>55055</v>
      </c>
      <c r="AI55" s="47" t="s">
        <v>106</v>
      </c>
      <c r="AJ55" s="47" t="s">
        <v>208</v>
      </c>
      <c r="AK55" s="44"/>
    </row>
    <row r="56" spans="1:37">
      <c r="A56" s="2" t="str">
        <f t="shared" si="0"/>
        <v>createAndConfirmAdvanceBookingLiveAnimals_LIVE_HatchingEggs_Domestic</v>
      </c>
      <c r="B56" s="2" t="s">
        <v>209</v>
      </c>
      <c r="C56" s="2" t="s">
        <v>223</v>
      </c>
      <c r="D56" s="46" t="s">
        <v>125</v>
      </c>
      <c r="E56" s="44" t="s">
        <v>124</v>
      </c>
      <c r="F56" s="44" t="b">
        <v>1</v>
      </c>
      <c r="G56" s="44" t="s">
        <v>35</v>
      </c>
      <c r="H56" s="44" t="s">
        <v>143</v>
      </c>
      <c r="I56" s="44" t="s">
        <v>142</v>
      </c>
      <c r="J56" s="2" t="s">
        <v>222</v>
      </c>
      <c r="K56" s="44" t="s">
        <v>301</v>
      </c>
      <c r="L56" s="44">
        <v>10</v>
      </c>
      <c r="M56" s="44" t="s">
        <v>145</v>
      </c>
      <c r="N56" s="44">
        <v>1</v>
      </c>
      <c r="O56" s="44">
        <v>10</v>
      </c>
      <c r="P56" s="44">
        <v>10</v>
      </c>
      <c r="Q56" s="44">
        <v>10</v>
      </c>
      <c r="R56" s="44" t="s">
        <v>152</v>
      </c>
      <c r="S56" s="44" t="s">
        <v>19</v>
      </c>
      <c r="T56" s="44" t="s">
        <v>20</v>
      </c>
      <c r="U56" s="44" t="s">
        <v>20</v>
      </c>
      <c r="V56" s="44" t="s">
        <v>20</v>
      </c>
      <c r="W56" s="44">
        <v>2</v>
      </c>
      <c r="X56" s="44" t="s">
        <v>20</v>
      </c>
      <c r="Y56" s="44" t="s">
        <v>35</v>
      </c>
      <c r="Z56" s="47" t="s">
        <v>23</v>
      </c>
      <c r="AA56" s="44" t="s">
        <v>21</v>
      </c>
      <c r="AB56" s="44" t="s">
        <v>22</v>
      </c>
      <c r="AC56" s="44" t="s">
        <v>35</v>
      </c>
      <c r="AD56" s="44" t="s">
        <v>158</v>
      </c>
      <c r="AE56" s="44" t="s">
        <v>159</v>
      </c>
      <c r="AF56" s="44" t="s">
        <v>160</v>
      </c>
      <c r="AG56" s="44" t="s">
        <v>161</v>
      </c>
      <c r="AH56" s="44">
        <v>55055</v>
      </c>
      <c r="AI56" s="47" t="s">
        <v>106</v>
      </c>
      <c r="AJ56" s="47" t="s">
        <v>208</v>
      </c>
      <c r="AK56" s="44"/>
    </row>
    <row r="57" spans="1:37">
      <c r="A57" s="2" t="str">
        <f t="shared" si="0"/>
        <v>createAndConfirmAdvanceBookingLiveAnimals_LIVE_Bird_International</v>
      </c>
      <c r="B57" s="2" t="s">
        <v>209</v>
      </c>
      <c r="C57" s="2" t="s">
        <v>223</v>
      </c>
      <c r="D57" s="46" t="s">
        <v>125</v>
      </c>
      <c r="E57" s="44" t="s">
        <v>124</v>
      </c>
      <c r="F57" s="44" t="b">
        <v>1</v>
      </c>
      <c r="G57" s="44" t="s">
        <v>35</v>
      </c>
      <c r="H57" s="44" t="s">
        <v>143</v>
      </c>
      <c r="I57" s="44" t="s">
        <v>142</v>
      </c>
      <c r="J57" s="2" t="s">
        <v>216</v>
      </c>
      <c r="K57" s="44" t="s">
        <v>301</v>
      </c>
      <c r="L57" s="44">
        <v>10</v>
      </c>
      <c r="M57" s="44" t="s">
        <v>145</v>
      </c>
      <c r="N57" s="44">
        <v>1</v>
      </c>
      <c r="O57" s="44">
        <v>10</v>
      </c>
      <c r="P57" s="44">
        <v>10</v>
      </c>
      <c r="Q57" s="44">
        <v>10</v>
      </c>
      <c r="R57" s="44" t="s">
        <v>152</v>
      </c>
      <c r="S57" s="44" t="s">
        <v>19</v>
      </c>
      <c r="T57" s="44" t="s">
        <v>20</v>
      </c>
      <c r="U57" s="44" t="s">
        <v>20</v>
      </c>
      <c r="V57" s="44" t="s">
        <v>20</v>
      </c>
      <c r="W57" s="44">
        <v>2</v>
      </c>
      <c r="X57" s="44" t="s">
        <v>20</v>
      </c>
      <c r="Y57" s="44" t="s">
        <v>35</v>
      </c>
      <c r="Z57" s="47" t="s">
        <v>23</v>
      </c>
      <c r="AA57" s="44" t="s">
        <v>21</v>
      </c>
      <c r="AB57" s="44" t="s">
        <v>22</v>
      </c>
      <c r="AC57" s="44" t="s">
        <v>35</v>
      </c>
      <c r="AD57" s="44" t="s">
        <v>158</v>
      </c>
      <c r="AE57" s="44" t="s">
        <v>159</v>
      </c>
      <c r="AF57" s="44" t="s">
        <v>160</v>
      </c>
      <c r="AG57" s="44" t="s">
        <v>161</v>
      </c>
      <c r="AH57" s="44">
        <v>55055</v>
      </c>
      <c r="AI57" s="47" t="s">
        <v>266</v>
      </c>
      <c r="AJ57" s="47" t="s">
        <v>212</v>
      </c>
      <c r="AK57" s="44"/>
    </row>
    <row r="58" spans="1:37">
      <c r="A58" s="2" t="str">
        <f t="shared" si="0"/>
        <v>createAndConfirmAdvanceBookingLiveAnimals_LIVE_DayOldChicks_International</v>
      </c>
      <c r="B58" s="2" t="s">
        <v>209</v>
      </c>
      <c r="C58" s="2" t="s">
        <v>223</v>
      </c>
      <c r="D58" s="46" t="s">
        <v>125</v>
      </c>
      <c r="E58" s="44" t="s">
        <v>124</v>
      </c>
      <c r="F58" s="44" t="b">
        <v>1</v>
      </c>
      <c r="G58" s="44" t="s">
        <v>35</v>
      </c>
      <c r="H58" s="44" t="s">
        <v>143</v>
      </c>
      <c r="I58" s="44" t="s">
        <v>142</v>
      </c>
      <c r="J58" s="2" t="s">
        <v>217</v>
      </c>
      <c r="K58" s="44" t="s">
        <v>301</v>
      </c>
      <c r="L58" s="44">
        <v>10</v>
      </c>
      <c r="M58" s="44" t="s">
        <v>145</v>
      </c>
      <c r="N58" s="44">
        <v>1</v>
      </c>
      <c r="O58" s="44">
        <v>10</v>
      </c>
      <c r="P58" s="44">
        <v>10</v>
      </c>
      <c r="Q58" s="44">
        <v>10</v>
      </c>
      <c r="R58" s="44" t="s">
        <v>152</v>
      </c>
      <c r="S58" s="44" t="s">
        <v>19</v>
      </c>
      <c r="T58" s="44" t="s">
        <v>20</v>
      </c>
      <c r="U58" s="44" t="s">
        <v>20</v>
      </c>
      <c r="V58" s="44" t="s">
        <v>20</v>
      </c>
      <c r="W58" s="44">
        <v>2</v>
      </c>
      <c r="X58" s="44" t="s">
        <v>20</v>
      </c>
      <c r="Y58" s="44" t="s">
        <v>35</v>
      </c>
      <c r="Z58" s="47" t="s">
        <v>23</v>
      </c>
      <c r="AA58" s="44" t="s">
        <v>21</v>
      </c>
      <c r="AB58" s="44" t="s">
        <v>22</v>
      </c>
      <c r="AC58" s="44" t="s">
        <v>35</v>
      </c>
      <c r="AD58" s="44" t="s">
        <v>158</v>
      </c>
      <c r="AE58" s="44" t="s">
        <v>159</v>
      </c>
      <c r="AF58" s="44" t="s">
        <v>160</v>
      </c>
      <c r="AG58" s="44" t="s">
        <v>161</v>
      </c>
      <c r="AH58" s="44">
        <v>55055</v>
      </c>
      <c r="AI58" s="47" t="s">
        <v>266</v>
      </c>
      <c r="AJ58" s="47" t="s">
        <v>212</v>
      </c>
      <c r="AK58" s="44"/>
    </row>
    <row r="59" spans="1:37">
      <c r="A59" s="2" t="str">
        <f t="shared" si="0"/>
        <v>createAndConfirmAdvanceBookingLiveAnimals_LIVE_LabAnimalse.g.Mice_International</v>
      </c>
      <c r="B59" s="2" t="s">
        <v>209</v>
      </c>
      <c r="C59" s="2" t="s">
        <v>223</v>
      </c>
      <c r="D59" s="46" t="s">
        <v>125</v>
      </c>
      <c r="E59" s="44" t="s">
        <v>124</v>
      </c>
      <c r="F59" s="44" t="b">
        <v>1</v>
      </c>
      <c r="G59" s="44" t="s">
        <v>35</v>
      </c>
      <c r="H59" s="44" t="s">
        <v>143</v>
      </c>
      <c r="I59" s="44" t="s">
        <v>142</v>
      </c>
      <c r="J59" s="2" t="s">
        <v>218</v>
      </c>
      <c r="K59" s="44" t="s">
        <v>301</v>
      </c>
      <c r="L59" s="44">
        <v>10</v>
      </c>
      <c r="M59" s="44" t="s">
        <v>145</v>
      </c>
      <c r="N59" s="44">
        <v>1</v>
      </c>
      <c r="O59" s="44">
        <v>10</v>
      </c>
      <c r="P59" s="44">
        <v>10</v>
      </c>
      <c r="Q59" s="44">
        <v>10</v>
      </c>
      <c r="R59" s="44" t="s">
        <v>152</v>
      </c>
      <c r="S59" s="44" t="s">
        <v>19</v>
      </c>
      <c r="T59" s="44" t="s">
        <v>20</v>
      </c>
      <c r="U59" s="44" t="s">
        <v>20</v>
      </c>
      <c r="V59" s="44" t="s">
        <v>20</v>
      </c>
      <c r="W59" s="44">
        <v>2</v>
      </c>
      <c r="X59" s="44" t="s">
        <v>20</v>
      </c>
      <c r="Y59" s="44" t="s">
        <v>35</v>
      </c>
      <c r="Z59" s="47" t="s">
        <v>23</v>
      </c>
      <c r="AA59" s="44" t="s">
        <v>21</v>
      </c>
      <c r="AB59" s="44" t="s">
        <v>22</v>
      </c>
      <c r="AC59" s="44" t="s">
        <v>35</v>
      </c>
      <c r="AD59" s="44" t="s">
        <v>158</v>
      </c>
      <c r="AE59" s="44" t="s">
        <v>159</v>
      </c>
      <c r="AF59" s="44" t="s">
        <v>160</v>
      </c>
      <c r="AG59" s="44" t="s">
        <v>161</v>
      </c>
      <c r="AH59" s="44">
        <v>55055</v>
      </c>
      <c r="AI59" s="47" t="s">
        <v>266</v>
      </c>
      <c r="AJ59" s="47" t="s">
        <v>212</v>
      </c>
      <c r="AK59" s="44"/>
    </row>
    <row r="60" spans="1:37">
      <c r="A60" s="2" t="str">
        <f t="shared" si="0"/>
        <v>createAndConfirmAdvanceBookingLiveAnimals_LIVE_OtherWarmBloodedAnimal_International</v>
      </c>
      <c r="B60" s="2" t="s">
        <v>209</v>
      </c>
      <c r="C60" s="2" t="s">
        <v>223</v>
      </c>
      <c r="D60" s="46" t="s">
        <v>125</v>
      </c>
      <c r="E60" s="44" t="s">
        <v>124</v>
      </c>
      <c r="F60" s="44" t="b">
        <v>1</v>
      </c>
      <c r="G60" s="44" t="s">
        <v>35</v>
      </c>
      <c r="H60" s="44" t="s">
        <v>143</v>
      </c>
      <c r="I60" s="44" t="s">
        <v>142</v>
      </c>
      <c r="J60" s="2" t="s">
        <v>219</v>
      </c>
      <c r="K60" s="44" t="s">
        <v>301</v>
      </c>
      <c r="L60" s="44">
        <v>10</v>
      </c>
      <c r="M60" s="44" t="s">
        <v>145</v>
      </c>
      <c r="N60" s="44">
        <v>1</v>
      </c>
      <c r="O60" s="44">
        <v>10</v>
      </c>
      <c r="P60" s="44">
        <v>10</v>
      </c>
      <c r="Q60" s="44">
        <v>10</v>
      </c>
      <c r="R60" s="44" t="s">
        <v>152</v>
      </c>
      <c r="S60" s="44" t="s">
        <v>19</v>
      </c>
      <c r="T60" s="44" t="s">
        <v>20</v>
      </c>
      <c r="U60" s="44" t="s">
        <v>20</v>
      </c>
      <c r="V60" s="44" t="s">
        <v>20</v>
      </c>
      <c r="W60" s="44">
        <v>2</v>
      </c>
      <c r="X60" s="44" t="s">
        <v>20</v>
      </c>
      <c r="Y60" s="44" t="s">
        <v>35</v>
      </c>
      <c r="Z60" s="47" t="s">
        <v>23</v>
      </c>
      <c r="AA60" s="44" t="s">
        <v>21</v>
      </c>
      <c r="AB60" s="44" t="s">
        <v>22</v>
      </c>
      <c r="AC60" s="44" t="s">
        <v>35</v>
      </c>
      <c r="AD60" s="44" t="s">
        <v>158</v>
      </c>
      <c r="AE60" s="44" t="s">
        <v>159</v>
      </c>
      <c r="AF60" s="44" t="s">
        <v>160</v>
      </c>
      <c r="AG60" s="44" t="s">
        <v>161</v>
      </c>
      <c r="AH60" s="44">
        <v>55055</v>
      </c>
      <c r="AI60" s="47" t="s">
        <v>266</v>
      </c>
      <c r="AJ60" s="47" t="s">
        <v>212</v>
      </c>
      <c r="AK60" s="44"/>
    </row>
    <row r="61" spans="1:37">
      <c r="A61" s="2" t="str">
        <f t="shared" si="0"/>
        <v>createAndConfirmAdvanceBookingLiveAnimals_LIVE_ReptileAmphibianetc._International</v>
      </c>
      <c r="B61" s="2" t="s">
        <v>209</v>
      </c>
      <c r="C61" s="2" t="s">
        <v>223</v>
      </c>
      <c r="D61" s="46" t="s">
        <v>125</v>
      </c>
      <c r="E61" s="44" t="s">
        <v>124</v>
      </c>
      <c r="F61" s="44" t="b">
        <v>1</v>
      </c>
      <c r="G61" s="44" t="s">
        <v>35</v>
      </c>
      <c r="H61" s="44" t="s">
        <v>143</v>
      </c>
      <c r="I61" s="44" t="s">
        <v>142</v>
      </c>
      <c r="J61" s="2" t="s">
        <v>220</v>
      </c>
      <c r="K61" s="44" t="s">
        <v>301</v>
      </c>
      <c r="L61" s="44">
        <v>10</v>
      </c>
      <c r="M61" s="44" t="s">
        <v>145</v>
      </c>
      <c r="N61" s="44">
        <v>1</v>
      </c>
      <c r="O61" s="44">
        <v>10</v>
      </c>
      <c r="P61" s="44">
        <v>10</v>
      </c>
      <c r="Q61" s="44">
        <v>10</v>
      </c>
      <c r="R61" s="44" t="s">
        <v>152</v>
      </c>
      <c r="S61" s="44" t="s">
        <v>19</v>
      </c>
      <c r="T61" s="44" t="s">
        <v>20</v>
      </c>
      <c r="U61" s="44" t="s">
        <v>20</v>
      </c>
      <c r="V61" s="44" t="s">
        <v>20</v>
      </c>
      <c r="W61" s="44">
        <v>2</v>
      </c>
      <c r="X61" s="44" t="s">
        <v>20</v>
      </c>
      <c r="Y61" s="44" t="s">
        <v>35</v>
      </c>
      <c r="Z61" s="47" t="s">
        <v>23</v>
      </c>
      <c r="AA61" s="44" t="s">
        <v>21</v>
      </c>
      <c r="AB61" s="44" t="s">
        <v>22</v>
      </c>
      <c r="AC61" s="44" t="s">
        <v>35</v>
      </c>
      <c r="AD61" s="44" t="s">
        <v>158</v>
      </c>
      <c r="AE61" s="44" t="s">
        <v>159</v>
      </c>
      <c r="AF61" s="44" t="s">
        <v>160</v>
      </c>
      <c r="AG61" s="44" t="s">
        <v>161</v>
      </c>
      <c r="AH61" s="44">
        <v>55055</v>
      </c>
      <c r="AI61" s="47" t="s">
        <v>266</v>
      </c>
      <c r="AJ61" s="47" t="s">
        <v>212</v>
      </c>
      <c r="AK61" s="44"/>
    </row>
    <row r="62" spans="1:37">
      <c r="A62" s="2" t="str">
        <f t="shared" si="0"/>
        <v>createAndConfirmAdvanceBookingLiveAnimals_LIVE_TropicalFish_International</v>
      </c>
      <c r="B62" s="2" t="s">
        <v>209</v>
      </c>
      <c r="C62" s="2" t="s">
        <v>223</v>
      </c>
      <c r="D62" s="46" t="s">
        <v>125</v>
      </c>
      <c r="E62" s="44" t="s">
        <v>124</v>
      </c>
      <c r="F62" s="44" t="b">
        <v>1</v>
      </c>
      <c r="G62" s="44" t="s">
        <v>35</v>
      </c>
      <c r="H62" s="44" t="s">
        <v>143</v>
      </c>
      <c r="I62" s="44" t="s">
        <v>142</v>
      </c>
      <c r="J62" s="2" t="s">
        <v>221</v>
      </c>
      <c r="K62" s="44" t="s">
        <v>301</v>
      </c>
      <c r="L62" s="44">
        <v>10</v>
      </c>
      <c r="M62" s="44" t="s">
        <v>145</v>
      </c>
      <c r="N62" s="44">
        <v>1</v>
      </c>
      <c r="O62" s="44">
        <v>10</v>
      </c>
      <c r="P62" s="44">
        <v>10</v>
      </c>
      <c r="Q62" s="44">
        <v>10</v>
      </c>
      <c r="R62" s="44" t="s">
        <v>152</v>
      </c>
      <c r="S62" s="44" t="s">
        <v>19</v>
      </c>
      <c r="T62" s="44" t="s">
        <v>20</v>
      </c>
      <c r="U62" s="44" t="s">
        <v>20</v>
      </c>
      <c r="V62" s="44" t="s">
        <v>20</v>
      </c>
      <c r="W62" s="44">
        <v>2</v>
      </c>
      <c r="X62" s="44" t="s">
        <v>20</v>
      </c>
      <c r="Y62" s="44" t="s">
        <v>35</v>
      </c>
      <c r="Z62" s="47" t="s">
        <v>23</v>
      </c>
      <c r="AA62" s="44" t="s">
        <v>21</v>
      </c>
      <c r="AB62" s="44" t="s">
        <v>22</v>
      </c>
      <c r="AC62" s="44" t="s">
        <v>35</v>
      </c>
      <c r="AD62" s="44" t="s">
        <v>158</v>
      </c>
      <c r="AE62" s="44" t="s">
        <v>159</v>
      </c>
      <c r="AF62" s="44" t="s">
        <v>160</v>
      </c>
      <c r="AG62" s="44" t="s">
        <v>161</v>
      </c>
      <c r="AH62" s="44">
        <v>55055</v>
      </c>
      <c r="AI62" s="47" t="s">
        <v>266</v>
      </c>
      <c r="AJ62" s="47" t="s">
        <v>212</v>
      </c>
      <c r="AK62" s="44"/>
    </row>
    <row r="63" spans="1:37">
      <c r="A63" s="2" t="str">
        <f t="shared" si="0"/>
        <v>createAndConfirmAdvanceBookingLiveAnimals_LIVE_HatchingEggs_International</v>
      </c>
      <c r="B63" s="2" t="s">
        <v>209</v>
      </c>
      <c r="C63" s="2" t="s">
        <v>223</v>
      </c>
      <c r="D63" s="46" t="s">
        <v>125</v>
      </c>
      <c r="E63" s="44" t="s">
        <v>124</v>
      </c>
      <c r="F63" s="44" t="b">
        <v>1</v>
      </c>
      <c r="G63" s="44" t="s">
        <v>35</v>
      </c>
      <c r="H63" s="44" t="s">
        <v>143</v>
      </c>
      <c r="I63" s="44" t="s">
        <v>142</v>
      </c>
      <c r="J63" s="2" t="s">
        <v>222</v>
      </c>
      <c r="K63" s="44" t="s">
        <v>301</v>
      </c>
      <c r="L63" s="44">
        <v>10</v>
      </c>
      <c r="M63" s="44" t="s">
        <v>145</v>
      </c>
      <c r="N63" s="44">
        <v>1</v>
      </c>
      <c r="O63" s="44">
        <v>10</v>
      </c>
      <c r="P63" s="44">
        <v>10</v>
      </c>
      <c r="Q63" s="44">
        <v>10</v>
      </c>
      <c r="R63" s="44" t="s">
        <v>152</v>
      </c>
      <c r="S63" s="44" t="s">
        <v>19</v>
      </c>
      <c r="T63" s="44" t="s">
        <v>20</v>
      </c>
      <c r="U63" s="44" t="s">
        <v>20</v>
      </c>
      <c r="V63" s="44" t="s">
        <v>20</v>
      </c>
      <c r="W63" s="44">
        <v>2</v>
      </c>
      <c r="X63" s="44" t="s">
        <v>20</v>
      </c>
      <c r="Y63" s="44" t="s">
        <v>35</v>
      </c>
      <c r="Z63" s="47" t="s">
        <v>23</v>
      </c>
      <c r="AA63" s="44" t="s">
        <v>21</v>
      </c>
      <c r="AB63" s="44" t="s">
        <v>22</v>
      </c>
      <c r="AC63" s="44" t="s">
        <v>35</v>
      </c>
      <c r="AD63" s="44" t="s">
        <v>158</v>
      </c>
      <c r="AE63" s="44" t="s">
        <v>159</v>
      </c>
      <c r="AF63" s="44" t="s">
        <v>160</v>
      </c>
      <c r="AG63" s="44" t="s">
        <v>161</v>
      </c>
      <c r="AH63" s="44">
        <v>55055</v>
      </c>
      <c r="AI63" s="47" t="s">
        <v>266</v>
      </c>
      <c r="AJ63" s="47" t="s">
        <v>212</v>
      </c>
      <c r="AK63" s="44"/>
    </row>
    <row r="64" spans="1:37">
      <c r="A64" s="49" t="str">
        <f>_xlfn.CONCAT("createAndConfirmGuidedBooking",SUBSTITUTE(B64," ","_"),"_",SUBSTITUTE(C64," ","_"),"_",SUBSTITUTE(SUBSTITUTE(SUBSTITUTE(SUBSTITUTE(SUBSTITUTE(SUBSTITUTE(SUBSTITUTE(J64," ",""),"-",""),"/",""),"–",""),"+",""),"°",""),",",""),"_",SUBSTITUTE(AJ64," ","_"))</f>
        <v>createAndConfirmGuidedBookingParcellessthan16OZ_STANDARD_NA_Domestic</v>
      </c>
      <c r="B64" s="49" t="s">
        <v>237</v>
      </c>
      <c r="C64" s="49" t="s">
        <v>192</v>
      </c>
      <c r="D64" s="46" t="s">
        <v>125</v>
      </c>
      <c r="E64" s="44" t="s">
        <v>124</v>
      </c>
      <c r="F64" s="49" t="b">
        <v>1</v>
      </c>
      <c r="G64" s="49" t="s">
        <v>35</v>
      </c>
      <c r="H64" s="49" t="s">
        <v>142</v>
      </c>
      <c r="I64" s="49" t="s">
        <v>165</v>
      </c>
      <c r="J64" s="49" t="s">
        <v>35</v>
      </c>
      <c r="K64" s="49" t="s">
        <v>300</v>
      </c>
      <c r="L64" s="49">
        <v>10</v>
      </c>
      <c r="M64" s="49" t="s">
        <v>263</v>
      </c>
      <c r="N64" s="49">
        <v>1</v>
      </c>
      <c r="O64" s="49">
        <v>10</v>
      </c>
      <c r="P64" s="49">
        <v>10</v>
      </c>
      <c r="Q64" s="49">
        <v>10</v>
      </c>
      <c r="R64" s="49" t="s">
        <v>255</v>
      </c>
      <c r="S64" s="49" t="s">
        <v>19</v>
      </c>
      <c r="T64" s="49" t="s">
        <v>20</v>
      </c>
      <c r="U64" s="49" t="s">
        <v>20</v>
      </c>
      <c r="V64" s="49" t="s">
        <v>20</v>
      </c>
      <c r="W64" s="49">
        <v>2</v>
      </c>
      <c r="X64" s="49" t="s">
        <v>20</v>
      </c>
      <c r="Y64" s="49" t="s">
        <v>35</v>
      </c>
      <c r="Z64" s="47" t="s">
        <v>23</v>
      </c>
      <c r="AA64" s="49" t="s">
        <v>21</v>
      </c>
      <c r="AB64" s="49" t="s">
        <v>22</v>
      </c>
      <c r="AC64" s="49" t="s">
        <v>35</v>
      </c>
      <c r="AD64" s="49" t="s">
        <v>158</v>
      </c>
      <c r="AE64" s="49" t="s">
        <v>159</v>
      </c>
      <c r="AF64" s="49" t="s">
        <v>160</v>
      </c>
      <c r="AG64" s="49" t="s">
        <v>161</v>
      </c>
      <c r="AH64" s="49">
        <v>55055</v>
      </c>
      <c r="AI64" s="15" t="s">
        <v>106</v>
      </c>
      <c r="AJ64" s="15" t="s">
        <v>208</v>
      </c>
    </row>
    <row r="65" spans="1:38">
      <c r="A65" s="49" t="str">
        <f t="shared" ref="A65:A128" si="1">_xlfn.CONCAT("createAndConfirmGuidedBooking",SUBSTITUTE(B65," ","_"),"_",SUBSTITUTE(C65," ","_"),"_",SUBSTITUTE(SUBSTITUTE(SUBSTITUTE(SUBSTITUTE(SUBSTITUTE(SUBSTITUTE(SUBSTITUTE(J65," ",""),"-",""),"/",""),"–",""),"+",""),"°",""),",",""),"_",SUBSTITUTE(AJ65," ","_"))</f>
        <v>createAndConfirmGuidedBookingParcellessthan16OZ_DSH_NA_Domestic</v>
      </c>
      <c r="B65" s="49" t="s">
        <v>237</v>
      </c>
      <c r="C65" s="49" t="s">
        <v>113</v>
      </c>
      <c r="D65" s="46" t="s">
        <v>125</v>
      </c>
      <c r="E65" s="44" t="s">
        <v>124</v>
      </c>
      <c r="F65" s="49" t="b">
        <v>1</v>
      </c>
      <c r="G65" s="49" t="s">
        <v>35</v>
      </c>
      <c r="H65" s="49" t="s">
        <v>142</v>
      </c>
      <c r="I65" s="49" t="s">
        <v>165</v>
      </c>
      <c r="J65" s="49" t="s">
        <v>35</v>
      </c>
      <c r="K65" s="49" t="s">
        <v>300</v>
      </c>
      <c r="L65" s="49">
        <v>20</v>
      </c>
      <c r="M65" s="49" t="s">
        <v>263</v>
      </c>
      <c r="N65" s="49">
        <v>2</v>
      </c>
      <c r="O65" s="49">
        <v>10</v>
      </c>
      <c r="P65" s="49">
        <v>10</v>
      </c>
      <c r="Q65" s="49">
        <v>10</v>
      </c>
      <c r="R65" s="49" t="s">
        <v>152</v>
      </c>
      <c r="S65" s="49" t="s">
        <v>19</v>
      </c>
      <c r="T65" s="49" t="s">
        <v>111</v>
      </c>
      <c r="U65" s="49" t="s">
        <v>20</v>
      </c>
      <c r="V65" s="49" t="s">
        <v>111</v>
      </c>
      <c r="W65" s="49">
        <v>2</v>
      </c>
      <c r="X65" s="49" t="s">
        <v>20</v>
      </c>
      <c r="Y65" s="49" t="s">
        <v>35</v>
      </c>
      <c r="Z65" s="47" t="s">
        <v>23</v>
      </c>
      <c r="AA65" s="49" t="s">
        <v>21</v>
      </c>
      <c r="AB65" s="49" t="s">
        <v>22</v>
      </c>
      <c r="AC65" s="49" t="s">
        <v>35</v>
      </c>
      <c r="AD65" s="49" t="s">
        <v>158</v>
      </c>
      <c r="AE65" s="49" t="s">
        <v>159</v>
      </c>
      <c r="AF65" s="49" t="s">
        <v>160</v>
      </c>
      <c r="AG65" s="49" t="s">
        <v>161</v>
      </c>
      <c r="AH65" s="49">
        <v>55055</v>
      </c>
      <c r="AI65" s="15" t="s">
        <v>106</v>
      </c>
      <c r="AJ65" s="15" t="s">
        <v>208</v>
      </c>
    </row>
    <row r="66" spans="1:38">
      <c r="A66" s="49" t="str">
        <f t="shared" si="1"/>
        <v>createAndConfirmGuidedBookingParcellessthan16OZ_DMD_NA_Domestic</v>
      </c>
      <c r="B66" s="49" t="s">
        <v>237</v>
      </c>
      <c r="C66" s="49" t="s">
        <v>163</v>
      </c>
      <c r="D66" s="46" t="s">
        <v>125</v>
      </c>
      <c r="E66" s="44" t="s">
        <v>124</v>
      </c>
      <c r="F66" s="49" t="b">
        <v>1</v>
      </c>
      <c r="G66" s="49" t="s">
        <v>35</v>
      </c>
      <c r="H66" s="49" t="s">
        <v>142</v>
      </c>
      <c r="I66" s="49" t="s">
        <v>143</v>
      </c>
      <c r="J66" s="49" t="s">
        <v>35</v>
      </c>
      <c r="K66" s="49" t="s">
        <v>300</v>
      </c>
      <c r="L66" s="49">
        <v>40</v>
      </c>
      <c r="M66" s="49" t="s">
        <v>263</v>
      </c>
      <c r="N66" s="49">
        <v>4</v>
      </c>
      <c r="O66" s="49">
        <v>10</v>
      </c>
      <c r="P66" s="49">
        <v>10</v>
      </c>
      <c r="Q66" s="49">
        <v>10</v>
      </c>
      <c r="R66" s="49" t="s">
        <v>255</v>
      </c>
      <c r="S66" s="49" t="s">
        <v>19</v>
      </c>
      <c r="T66" s="49" t="s">
        <v>20</v>
      </c>
      <c r="U66" s="49" t="s">
        <v>20</v>
      </c>
      <c r="V66" s="49" t="s">
        <v>20</v>
      </c>
      <c r="W66" s="49">
        <v>2</v>
      </c>
      <c r="X66" s="49" t="s">
        <v>20</v>
      </c>
      <c r="Y66" s="49" t="s">
        <v>35</v>
      </c>
      <c r="Z66" s="47" t="s">
        <v>23</v>
      </c>
      <c r="AA66" s="49" t="s">
        <v>21</v>
      </c>
      <c r="AB66" s="49" t="s">
        <v>22</v>
      </c>
      <c r="AC66" s="49" t="s">
        <v>35</v>
      </c>
      <c r="AD66" s="49" t="s">
        <v>158</v>
      </c>
      <c r="AE66" s="49" t="s">
        <v>159</v>
      </c>
      <c r="AF66" s="49" t="s">
        <v>160</v>
      </c>
      <c r="AG66" s="49" t="s">
        <v>161</v>
      </c>
      <c r="AH66" s="49">
        <v>55055</v>
      </c>
      <c r="AI66" s="15" t="s">
        <v>106</v>
      </c>
      <c r="AJ66" s="15" t="s">
        <v>208</v>
      </c>
    </row>
    <row r="67" spans="1:38">
      <c r="A67" s="49" t="str">
        <f t="shared" si="1"/>
        <v>createAndConfirmGuidedBookingParcellessthan16OZ_GENERAL_NA_International</v>
      </c>
      <c r="B67" s="49" t="s">
        <v>237</v>
      </c>
      <c r="C67" s="49" t="s">
        <v>234</v>
      </c>
      <c r="D67" s="46" t="s">
        <v>125</v>
      </c>
      <c r="E67" s="44" t="s">
        <v>124</v>
      </c>
      <c r="F67" s="49" t="b">
        <v>1</v>
      </c>
      <c r="G67" s="49" t="s">
        <v>35</v>
      </c>
      <c r="H67" s="49" t="s">
        <v>142</v>
      </c>
      <c r="I67" s="49" t="s">
        <v>165</v>
      </c>
      <c r="J67" s="49" t="s">
        <v>35</v>
      </c>
      <c r="K67" s="49" t="s">
        <v>300</v>
      </c>
      <c r="L67" s="49">
        <v>10</v>
      </c>
      <c r="M67" s="49" t="s">
        <v>263</v>
      </c>
      <c r="N67" s="49">
        <v>1</v>
      </c>
      <c r="O67" s="49">
        <v>10</v>
      </c>
      <c r="P67" s="49">
        <v>10</v>
      </c>
      <c r="Q67" s="49">
        <v>10</v>
      </c>
      <c r="R67" s="49" t="s">
        <v>152</v>
      </c>
      <c r="S67" s="49" t="s">
        <v>19</v>
      </c>
      <c r="T67" s="49" t="s">
        <v>111</v>
      </c>
      <c r="U67" s="49" t="s">
        <v>20</v>
      </c>
      <c r="V67" s="49" t="s">
        <v>111</v>
      </c>
      <c r="W67" s="49">
        <v>2</v>
      </c>
      <c r="X67" s="49" t="s">
        <v>20</v>
      </c>
      <c r="Y67" s="49" t="s">
        <v>35</v>
      </c>
      <c r="Z67" s="47" t="s">
        <v>23</v>
      </c>
      <c r="AA67" s="49" t="s">
        <v>21</v>
      </c>
      <c r="AB67" s="49" t="s">
        <v>22</v>
      </c>
      <c r="AC67" s="49" t="s">
        <v>35</v>
      </c>
      <c r="AD67" s="49" t="s">
        <v>158</v>
      </c>
      <c r="AE67" s="49" t="s">
        <v>159</v>
      </c>
      <c r="AF67" s="49" t="s">
        <v>160</v>
      </c>
      <c r="AG67" s="49" t="s">
        <v>161</v>
      </c>
      <c r="AH67" s="49">
        <v>55055</v>
      </c>
      <c r="AI67" s="15" t="s">
        <v>266</v>
      </c>
      <c r="AJ67" s="15" t="s">
        <v>212</v>
      </c>
    </row>
    <row r="68" spans="1:38">
      <c r="A68" s="49" t="str">
        <f t="shared" si="1"/>
        <v>createAndConfirmGuidedBookingParcellessthan16OZ_EXPRESS_NA_International</v>
      </c>
      <c r="B68" s="49" t="s">
        <v>237</v>
      </c>
      <c r="C68" s="49" t="s">
        <v>235</v>
      </c>
      <c r="D68" s="46" t="s">
        <v>125</v>
      </c>
      <c r="E68" s="44" t="s">
        <v>124</v>
      </c>
      <c r="F68" s="49" t="b">
        <v>1</v>
      </c>
      <c r="G68" s="49" t="s">
        <v>35</v>
      </c>
      <c r="H68" s="49" t="s">
        <v>142</v>
      </c>
      <c r="I68" s="49" t="s">
        <v>254</v>
      </c>
      <c r="J68" s="49" t="s">
        <v>35</v>
      </c>
      <c r="K68" s="49" t="s">
        <v>300</v>
      </c>
      <c r="L68" s="49">
        <v>40</v>
      </c>
      <c r="M68" s="49" t="s">
        <v>263</v>
      </c>
      <c r="N68" s="49">
        <v>3</v>
      </c>
      <c r="O68" s="49">
        <v>10</v>
      </c>
      <c r="P68" s="49">
        <v>10</v>
      </c>
      <c r="Q68" s="49">
        <v>10</v>
      </c>
      <c r="R68" s="49" t="s">
        <v>255</v>
      </c>
      <c r="S68" s="49" t="s">
        <v>19</v>
      </c>
      <c r="T68" s="49" t="s">
        <v>20</v>
      </c>
      <c r="U68" s="49" t="s">
        <v>20</v>
      </c>
      <c r="V68" s="49" t="s">
        <v>20</v>
      </c>
      <c r="W68" s="49">
        <v>2</v>
      </c>
      <c r="X68" s="49" t="s">
        <v>20</v>
      </c>
      <c r="Y68" s="49" t="s">
        <v>35</v>
      </c>
      <c r="Z68" s="47" t="s">
        <v>23</v>
      </c>
      <c r="AA68" s="49" t="s">
        <v>21</v>
      </c>
      <c r="AB68" s="49" t="s">
        <v>22</v>
      </c>
      <c r="AC68" s="49" t="s">
        <v>35</v>
      </c>
      <c r="AD68" s="49" t="s">
        <v>158</v>
      </c>
      <c r="AE68" s="49" t="s">
        <v>159</v>
      </c>
      <c r="AF68" s="49" t="s">
        <v>160</v>
      </c>
      <c r="AG68" s="49" t="s">
        <v>161</v>
      </c>
      <c r="AH68" s="49">
        <v>55055</v>
      </c>
      <c r="AI68" s="15" t="s">
        <v>266</v>
      </c>
      <c r="AJ68" s="15" t="s">
        <v>212</v>
      </c>
    </row>
    <row r="69" spans="1:38">
      <c r="A69" s="49" t="str">
        <f t="shared" si="1"/>
        <v>createAndConfirmGuidedBookingParcellessthan16OZ_CRITICAL_NA_International</v>
      </c>
      <c r="B69" s="49" t="s">
        <v>237</v>
      </c>
      <c r="C69" s="49" t="s">
        <v>236</v>
      </c>
      <c r="D69" s="46" t="s">
        <v>125</v>
      </c>
      <c r="E69" s="44" t="s">
        <v>124</v>
      </c>
      <c r="F69" s="49" t="b">
        <v>1</v>
      </c>
      <c r="G69" s="49" t="s">
        <v>35</v>
      </c>
      <c r="H69" s="49" t="s">
        <v>142</v>
      </c>
      <c r="I69" s="49" t="s">
        <v>254</v>
      </c>
      <c r="J69" s="49" t="s">
        <v>35</v>
      </c>
      <c r="K69" s="49" t="s">
        <v>300</v>
      </c>
      <c r="L69" s="49">
        <v>90</v>
      </c>
      <c r="M69" s="49" t="s">
        <v>263</v>
      </c>
      <c r="N69" s="49">
        <v>4</v>
      </c>
      <c r="O69" s="49">
        <v>10</v>
      </c>
      <c r="P69" s="49">
        <v>10</v>
      </c>
      <c r="Q69" s="49">
        <v>10</v>
      </c>
      <c r="R69" s="49" t="s">
        <v>152</v>
      </c>
      <c r="S69" s="49" t="s">
        <v>19</v>
      </c>
      <c r="T69" s="49" t="s">
        <v>111</v>
      </c>
      <c r="U69" s="49" t="s">
        <v>20</v>
      </c>
      <c r="V69" s="49" t="s">
        <v>111</v>
      </c>
      <c r="W69" s="49">
        <v>2</v>
      </c>
      <c r="X69" s="49" t="s">
        <v>20</v>
      </c>
      <c r="Y69" s="49" t="s">
        <v>35</v>
      </c>
      <c r="Z69" s="47" t="s">
        <v>23</v>
      </c>
      <c r="AA69" s="49" t="s">
        <v>21</v>
      </c>
      <c r="AB69" s="49" t="s">
        <v>22</v>
      </c>
      <c r="AC69" s="49" t="s">
        <v>35</v>
      </c>
      <c r="AD69" s="49" t="s">
        <v>158</v>
      </c>
      <c r="AE69" s="49" t="s">
        <v>159</v>
      </c>
      <c r="AF69" s="49" t="s">
        <v>160</v>
      </c>
      <c r="AG69" s="49" t="s">
        <v>161</v>
      </c>
      <c r="AH69" s="49">
        <v>55055</v>
      </c>
      <c r="AI69" s="15" t="s">
        <v>266</v>
      </c>
      <c r="AJ69" s="15" t="s">
        <v>212</v>
      </c>
    </row>
    <row r="70" spans="1:38" s="50" customFormat="1">
      <c r="A70" s="50" t="str">
        <f t="shared" si="1"/>
        <v>createAndConfirmGuidedBookingParcels_STANDARD_NA_Domestic</v>
      </c>
      <c r="B70" s="50" t="s">
        <v>233</v>
      </c>
      <c r="C70" s="50" t="s">
        <v>192</v>
      </c>
      <c r="D70" s="46" t="s">
        <v>125</v>
      </c>
      <c r="E70" s="44" t="s">
        <v>124</v>
      </c>
      <c r="F70" s="50" t="b">
        <v>1</v>
      </c>
      <c r="G70" s="50" t="s">
        <v>35</v>
      </c>
      <c r="H70" s="50" t="s">
        <v>142</v>
      </c>
      <c r="I70" s="50" t="s">
        <v>165</v>
      </c>
      <c r="J70" s="50" t="s">
        <v>35</v>
      </c>
      <c r="K70" s="50" t="s">
        <v>299</v>
      </c>
      <c r="L70" s="50">
        <v>30</v>
      </c>
      <c r="M70" s="50" t="s">
        <v>197</v>
      </c>
      <c r="N70" s="50">
        <v>1</v>
      </c>
      <c r="O70" s="50">
        <v>10</v>
      </c>
      <c r="P70" s="50">
        <v>10</v>
      </c>
      <c r="Q70" s="50">
        <v>10</v>
      </c>
      <c r="R70" s="50" t="s">
        <v>255</v>
      </c>
      <c r="S70" s="50" t="s">
        <v>35</v>
      </c>
      <c r="T70" s="50" t="s">
        <v>111</v>
      </c>
      <c r="U70" s="50" t="s">
        <v>20</v>
      </c>
      <c r="V70" s="50" t="s">
        <v>20</v>
      </c>
      <c r="W70" s="50">
        <v>2</v>
      </c>
      <c r="X70" s="50" t="s">
        <v>20</v>
      </c>
      <c r="Y70" s="50" t="s">
        <v>35</v>
      </c>
      <c r="Z70" s="47" t="s">
        <v>23</v>
      </c>
      <c r="AA70" s="50" t="s">
        <v>21</v>
      </c>
      <c r="AB70" s="50" t="s">
        <v>22</v>
      </c>
      <c r="AC70" s="50" t="s">
        <v>35</v>
      </c>
      <c r="AD70" s="50" t="s">
        <v>158</v>
      </c>
      <c r="AE70" s="50" t="s">
        <v>159</v>
      </c>
      <c r="AF70" s="50" t="s">
        <v>160</v>
      </c>
      <c r="AG70" s="50" t="s">
        <v>161</v>
      </c>
      <c r="AH70" s="50">
        <v>55055</v>
      </c>
      <c r="AI70" s="51" t="s">
        <v>106</v>
      </c>
      <c r="AJ70" s="51" t="s">
        <v>208</v>
      </c>
      <c r="AL70" s="50">
        <v>2</v>
      </c>
    </row>
    <row r="71" spans="1:38" s="50" customFormat="1">
      <c r="A71" s="50" t="str">
        <f t="shared" si="1"/>
        <v>createAndConfirmGuidedBookingParcels_DSH_NA_Domestic</v>
      </c>
      <c r="B71" s="50" t="s">
        <v>233</v>
      </c>
      <c r="C71" s="50" t="s">
        <v>113</v>
      </c>
      <c r="D71" s="46" t="s">
        <v>125</v>
      </c>
      <c r="E71" s="44" t="s">
        <v>124</v>
      </c>
      <c r="F71" s="50" t="b">
        <v>1</v>
      </c>
      <c r="G71" s="50" t="s">
        <v>35</v>
      </c>
      <c r="H71" s="50" t="s">
        <v>231</v>
      </c>
      <c r="I71" s="50" t="s">
        <v>232</v>
      </c>
      <c r="J71" s="50" t="s">
        <v>35</v>
      </c>
      <c r="K71" s="50" t="s">
        <v>299</v>
      </c>
      <c r="L71" s="50">
        <v>60</v>
      </c>
      <c r="M71" s="50" t="s">
        <v>145</v>
      </c>
      <c r="N71" s="50">
        <v>3</v>
      </c>
      <c r="O71" s="50">
        <v>10</v>
      </c>
      <c r="P71" s="50">
        <v>10</v>
      </c>
      <c r="Q71" s="50">
        <v>10</v>
      </c>
      <c r="R71" s="50" t="s">
        <v>152</v>
      </c>
      <c r="S71" s="50" t="s">
        <v>35</v>
      </c>
      <c r="T71" s="50" t="s">
        <v>20</v>
      </c>
      <c r="U71" s="50" t="s">
        <v>20</v>
      </c>
      <c r="V71" s="50" t="s">
        <v>111</v>
      </c>
      <c r="W71" s="50">
        <v>2</v>
      </c>
      <c r="X71" s="50" t="s">
        <v>20</v>
      </c>
      <c r="Y71" s="50" t="s">
        <v>35</v>
      </c>
      <c r="Z71" s="47" t="s">
        <v>23</v>
      </c>
      <c r="AA71" s="50" t="s">
        <v>21</v>
      </c>
      <c r="AB71" s="50" t="s">
        <v>22</v>
      </c>
      <c r="AC71" s="50" t="s">
        <v>35</v>
      </c>
      <c r="AD71" s="50" t="s">
        <v>158</v>
      </c>
      <c r="AE71" s="50" t="s">
        <v>159</v>
      </c>
      <c r="AF71" s="50" t="s">
        <v>160</v>
      </c>
      <c r="AG71" s="50" t="s">
        <v>161</v>
      </c>
      <c r="AH71" s="50">
        <v>55055</v>
      </c>
      <c r="AI71" s="51" t="s">
        <v>106</v>
      </c>
      <c r="AJ71" s="51" t="s">
        <v>208</v>
      </c>
      <c r="AL71" s="50">
        <v>3</v>
      </c>
    </row>
    <row r="72" spans="1:38" s="50" customFormat="1">
      <c r="A72" s="50" t="str">
        <f t="shared" si="1"/>
        <v>createAndConfirmGuidedBookingParcels_DMD_NA_Domestic</v>
      </c>
      <c r="B72" s="50" t="s">
        <v>233</v>
      </c>
      <c r="C72" s="50" t="s">
        <v>163</v>
      </c>
      <c r="D72" s="46" t="s">
        <v>125</v>
      </c>
      <c r="E72" s="44" t="s">
        <v>124</v>
      </c>
      <c r="F72" s="50" t="b">
        <v>1</v>
      </c>
      <c r="G72" s="50" t="s">
        <v>35</v>
      </c>
      <c r="H72" s="50" t="s">
        <v>143</v>
      </c>
      <c r="I72" s="50" t="s">
        <v>165</v>
      </c>
      <c r="J72" s="50" t="s">
        <v>35</v>
      </c>
      <c r="K72" s="50" t="s">
        <v>299</v>
      </c>
      <c r="L72" s="50">
        <v>90</v>
      </c>
      <c r="M72" s="50" t="s">
        <v>197</v>
      </c>
      <c r="N72" s="50">
        <v>4</v>
      </c>
      <c r="O72" s="50">
        <v>10</v>
      </c>
      <c r="P72" s="50">
        <v>10</v>
      </c>
      <c r="Q72" s="50">
        <v>10</v>
      </c>
      <c r="R72" s="50" t="s">
        <v>255</v>
      </c>
      <c r="S72" s="50" t="s">
        <v>35</v>
      </c>
      <c r="T72" s="50" t="s">
        <v>111</v>
      </c>
      <c r="U72" s="50" t="s">
        <v>20</v>
      </c>
      <c r="V72" s="50" t="s">
        <v>20</v>
      </c>
      <c r="W72" s="50">
        <v>2</v>
      </c>
      <c r="X72" s="50" t="s">
        <v>20</v>
      </c>
      <c r="Y72" s="50" t="s">
        <v>35</v>
      </c>
      <c r="Z72" s="47" t="s">
        <v>23</v>
      </c>
      <c r="AA72" s="50" t="s">
        <v>21</v>
      </c>
      <c r="AB72" s="50" t="s">
        <v>22</v>
      </c>
      <c r="AC72" s="50" t="s">
        <v>35</v>
      </c>
      <c r="AD72" s="50" t="s">
        <v>158</v>
      </c>
      <c r="AE72" s="50" t="s">
        <v>159</v>
      </c>
      <c r="AF72" s="50" t="s">
        <v>160</v>
      </c>
      <c r="AG72" s="50" t="s">
        <v>161</v>
      </c>
      <c r="AH72" s="50">
        <v>55055</v>
      </c>
      <c r="AI72" s="51" t="s">
        <v>106</v>
      </c>
      <c r="AJ72" s="51" t="s">
        <v>208</v>
      </c>
      <c r="AL72" s="50">
        <v>4</v>
      </c>
    </row>
    <row r="73" spans="1:38" s="50" customFormat="1">
      <c r="A73" s="50" t="str">
        <f t="shared" si="1"/>
        <v>createAndConfirmGuidedBookingParcels_GENERAL_NA_International</v>
      </c>
      <c r="B73" s="50" t="s">
        <v>233</v>
      </c>
      <c r="C73" s="50" t="s">
        <v>234</v>
      </c>
      <c r="D73" s="46" t="s">
        <v>125</v>
      </c>
      <c r="E73" s="44" t="s">
        <v>124</v>
      </c>
      <c r="F73" s="50" t="b">
        <v>1</v>
      </c>
      <c r="G73" s="50" t="s">
        <v>35</v>
      </c>
      <c r="H73" s="50" t="s">
        <v>142</v>
      </c>
      <c r="I73" s="50" t="s">
        <v>254</v>
      </c>
      <c r="J73" s="50" t="s">
        <v>35</v>
      </c>
      <c r="K73" s="50" t="s">
        <v>299</v>
      </c>
      <c r="L73" s="50">
        <v>30</v>
      </c>
      <c r="M73" s="50" t="s">
        <v>145</v>
      </c>
      <c r="N73" s="50">
        <v>1</v>
      </c>
      <c r="O73" s="50">
        <v>10</v>
      </c>
      <c r="P73" s="50">
        <v>10</v>
      </c>
      <c r="Q73" s="50">
        <v>10</v>
      </c>
      <c r="R73" s="50" t="s">
        <v>152</v>
      </c>
      <c r="S73" s="50" t="s">
        <v>35</v>
      </c>
      <c r="T73" s="50" t="s">
        <v>20</v>
      </c>
      <c r="U73" s="50" t="s">
        <v>20</v>
      </c>
      <c r="V73" s="50" t="s">
        <v>111</v>
      </c>
      <c r="W73" s="50">
        <v>2</v>
      </c>
      <c r="X73" s="50" t="s">
        <v>20</v>
      </c>
      <c r="Y73" s="50" t="s">
        <v>35</v>
      </c>
      <c r="Z73" s="47" t="s">
        <v>23</v>
      </c>
      <c r="AA73" s="50" t="s">
        <v>21</v>
      </c>
      <c r="AB73" s="50" t="s">
        <v>22</v>
      </c>
      <c r="AC73" s="50" t="s">
        <v>35</v>
      </c>
      <c r="AD73" s="50" t="s">
        <v>158</v>
      </c>
      <c r="AE73" s="50" t="s">
        <v>159</v>
      </c>
      <c r="AF73" s="50" t="s">
        <v>160</v>
      </c>
      <c r="AG73" s="50" t="s">
        <v>161</v>
      </c>
      <c r="AH73" s="50">
        <v>55055</v>
      </c>
      <c r="AI73" s="51" t="s">
        <v>266</v>
      </c>
      <c r="AJ73" s="51" t="s">
        <v>212</v>
      </c>
      <c r="AL73" s="50">
        <v>5</v>
      </c>
    </row>
    <row r="74" spans="1:38" s="50" customFormat="1">
      <c r="A74" s="50" t="str">
        <f t="shared" si="1"/>
        <v>createAndConfirmGuidedBookingParcels_EXPRESS_HEAVY_NA_International</v>
      </c>
      <c r="B74" s="50" t="s">
        <v>233</v>
      </c>
      <c r="C74" s="50" t="s">
        <v>249</v>
      </c>
      <c r="D74" s="46" t="s">
        <v>125</v>
      </c>
      <c r="E74" s="44" t="s">
        <v>124</v>
      </c>
      <c r="F74" s="50" t="b">
        <v>1</v>
      </c>
      <c r="G74" s="50" t="s">
        <v>35</v>
      </c>
      <c r="H74" s="50" t="s">
        <v>142</v>
      </c>
      <c r="I74" s="50" t="s">
        <v>254</v>
      </c>
      <c r="J74" s="50" t="s">
        <v>35</v>
      </c>
      <c r="K74" s="50" t="s">
        <v>299</v>
      </c>
      <c r="L74" s="50">
        <v>60</v>
      </c>
      <c r="M74" s="50" t="s">
        <v>197</v>
      </c>
      <c r="N74" s="50">
        <v>1</v>
      </c>
      <c r="O74" s="50">
        <v>10</v>
      </c>
      <c r="P74" s="50">
        <v>10</v>
      </c>
      <c r="Q74" s="50">
        <v>10</v>
      </c>
      <c r="R74" s="50" t="s">
        <v>255</v>
      </c>
      <c r="S74" s="50" t="s">
        <v>35</v>
      </c>
      <c r="T74" s="50" t="s">
        <v>111</v>
      </c>
      <c r="U74" s="50" t="s">
        <v>20</v>
      </c>
      <c r="V74" s="50" t="s">
        <v>20</v>
      </c>
      <c r="W74" s="50">
        <v>2</v>
      </c>
      <c r="X74" s="50" t="s">
        <v>20</v>
      </c>
      <c r="Y74" s="50" t="s">
        <v>35</v>
      </c>
      <c r="Z74" s="47" t="s">
        <v>23</v>
      </c>
      <c r="AA74" s="50" t="s">
        <v>21</v>
      </c>
      <c r="AB74" s="50" t="s">
        <v>22</v>
      </c>
      <c r="AC74" s="50" t="s">
        <v>35</v>
      </c>
      <c r="AD74" s="50" t="s">
        <v>158</v>
      </c>
      <c r="AE74" s="50" t="s">
        <v>159</v>
      </c>
      <c r="AF74" s="50" t="s">
        <v>160</v>
      </c>
      <c r="AG74" s="50" t="s">
        <v>161</v>
      </c>
      <c r="AH74" s="50">
        <v>55055</v>
      </c>
      <c r="AI74" s="51" t="s">
        <v>266</v>
      </c>
      <c r="AJ74" s="51" t="s">
        <v>212</v>
      </c>
      <c r="AL74" s="50">
        <v>6</v>
      </c>
    </row>
    <row r="75" spans="1:38" s="50" customFormat="1">
      <c r="A75" s="50" t="str">
        <f t="shared" si="1"/>
        <v>createAndConfirmGuidedBookingParcels_CRITICAL_HEAVY_NA_International</v>
      </c>
      <c r="B75" s="50" t="s">
        <v>233</v>
      </c>
      <c r="C75" s="50" t="s">
        <v>250</v>
      </c>
      <c r="D75" s="46" t="s">
        <v>125</v>
      </c>
      <c r="E75" s="44" t="s">
        <v>124</v>
      </c>
      <c r="F75" s="50" t="b">
        <v>1</v>
      </c>
      <c r="G75" s="50" t="s">
        <v>35</v>
      </c>
      <c r="H75" s="50" t="s">
        <v>142</v>
      </c>
      <c r="I75" s="50" t="s">
        <v>254</v>
      </c>
      <c r="J75" s="50" t="s">
        <v>35</v>
      </c>
      <c r="K75" s="50" t="s">
        <v>299</v>
      </c>
      <c r="L75" s="50">
        <v>100</v>
      </c>
      <c r="M75" s="50" t="s">
        <v>145</v>
      </c>
      <c r="N75" s="50">
        <v>1</v>
      </c>
      <c r="O75" s="50">
        <v>10</v>
      </c>
      <c r="P75" s="50">
        <v>10</v>
      </c>
      <c r="Q75" s="50">
        <v>10</v>
      </c>
      <c r="R75" s="50" t="s">
        <v>152</v>
      </c>
      <c r="S75" s="50" t="s">
        <v>35</v>
      </c>
      <c r="T75" s="50" t="s">
        <v>20</v>
      </c>
      <c r="U75" s="50" t="s">
        <v>20</v>
      </c>
      <c r="V75" s="50" t="s">
        <v>111</v>
      </c>
      <c r="W75" s="50">
        <v>2</v>
      </c>
      <c r="X75" s="50" t="s">
        <v>20</v>
      </c>
      <c r="Y75" s="50" t="s">
        <v>35</v>
      </c>
      <c r="Z75" s="47" t="s">
        <v>23</v>
      </c>
      <c r="AA75" s="50" t="s">
        <v>21</v>
      </c>
      <c r="AB75" s="50" t="s">
        <v>22</v>
      </c>
      <c r="AC75" s="50" t="s">
        <v>35</v>
      </c>
      <c r="AD75" s="50" t="s">
        <v>158</v>
      </c>
      <c r="AE75" s="50" t="s">
        <v>159</v>
      </c>
      <c r="AF75" s="50" t="s">
        <v>160</v>
      </c>
      <c r="AG75" s="50" t="s">
        <v>161</v>
      </c>
      <c r="AH75" s="50">
        <v>55055</v>
      </c>
      <c r="AI75" s="51" t="s">
        <v>266</v>
      </c>
      <c r="AJ75" s="51" t="s">
        <v>212</v>
      </c>
      <c r="AL75" s="50">
        <v>7</v>
      </c>
    </row>
    <row r="76" spans="1:38" s="52" customFormat="1">
      <c r="A76" s="52" t="str">
        <f t="shared" si="1"/>
        <v>createAndConfirmGuidedBookingPetsandLive_LIVE_Bird_Domestic</v>
      </c>
      <c r="B76" s="52" t="s">
        <v>309</v>
      </c>
      <c r="C76" s="52" t="s">
        <v>223</v>
      </c>
      <c r="D76" s="46" t="s">
        <v>125</v>
      </c>
      <c r="E76" s="44" t="s">
        <v>124</v>
      </c>
      <c r="F76" s="52" t="b">
        <v>1</v>
      </c>
      <c r="G76" s="52" t="s">
        <v>35</v>
      </c>
      <c r="H76" s="52" t="s">
        <v>142</v>
      </c>
      <c r="I76" s="52" t="s">
        <v>165</v>
      </c>
      <c r="J76" s="52" t="s">
        <v>216</v>
      </c>
      <c r="K76" s="52" t="s">
        <v>301</v>
      </c>
      <c r="L76" s="52">
        <v>10</v>
      </c>
      <c r="M76" s="52" t="s">
        <v>197</v>
      </c>
      <c r="N76" s="52">
        <v>1</v>
      </c>
      <c r="O76" s="52">
        <v>10</v>
      </c>
      <c r="P76" s="52">
        <v>10</v>
      </c>
      <c r="Q76" s="52">
        <v>10</v>
      </c>
      <c r="R76" s="52" t="s">
        <v>255</v>
      </c>
      <c r="S76" s="52" t="s">
        <v>19</v>
      </c>
      <c r="T76" s="52" t="s">
        <v>20</v>
      </c>
      <c r="U76" s="52" t="s">
        <v>20</v>
      </c>
      <c r="V76" s="52" t="s">
        <v>20</v>
      </c>
      <c r="W76" s="52">
        <v>2</v>
      </c>
      <c r="X76" s="52" t="s">
        <v>20</v>
      </c>
      <c r="Y76" s="52" t="s">
        <v>35</v>
      </c>
      <c r="Z76" s="47" t="s">
        <v>23</v>
      </c>
      <c r="AA76" s="52" t="s">
        <v>21</v>
      </c>
      <c r="AB76" s="52" t="s">
        <v>22</v>
      </c>
      <c r="AC76" s="52" t="s">
        <v>35</v>
      </c>
      <c r="AD76" s="52" t="s">
        <v>158</v>
      </c>
      <c r="AE76" s="52" t="s">
        <v>159</v>
      </c>
      <c r="AF76" s="52" t="s">
        <v>160</v>
      </c>
      <c r="AG76" s="52" t="s">
        <v>161</v>
      </c>
      <c r="AH76" s="52">
        <v>55055</v>
      </c>
      <c r="AI76" s="53" t="s">
        <v>106</v>
      </c>
      <c r="AJ76" s="53" t="s">
        <v>208</v>
      </c>
    </row>
    <row r="77" spans="1:38" s="52" customFormat="1">
      <c r="A77" s="52" t="str">
        <f t="shared" si="1"/>
        <v>createAndConfirmGuidedBookingPetsandLive_LIVE_Cat_Domestic</v>
      </c>
      <c r="B77" s="52" t="s">
        <v>309</v>
      </c>
      <c r="C77" s="52" t="s">
        <v>223</v>
      </c>
      <c r="D77" s="46" t="s">
        <v>125</v>
      </c>
      <c r="E77" s="44" t="s">
        <v>124</v>
      </c>
      <c r="F77" s="52" t="b">
        <v>1</v>
      </c>
      <c r="G77" s="52" t="s">
        <v>35</v>
      </c>
      <c r="H77" s="52" t="s">
        <v>142</v>
      </c>
      <c r="I77" s="52" t="s">
        <v>165</v>
      </c>
      <c r="J77" s="52" t="s">
        <v>39</v>
      </c>
      <c r="K77" s="52" t="s">
        <v>301</v>
      </c>
      <c r="L77" s="52">
        <v>20</v>
      </c>
      <c r="M77" s="52" t="s">
        <v>145</v>
      </c>
      <c r="N77" s="52">
        <v>1</v>
      </c>
      <c r="O77" s="52">
        <v>10</v>
      </c>
      <c r="P77" s="52">
        <v>10</v>
      </c>
      <c r="Q77" s="52">
        <v>10</v>
      </c>
      <c r="R77" s="52" t="s">
        <v>152</v>
      </c>
      <c r="S77" s="52" t="s">
        <v>19</v>
      </c>
      <c r="T77" s="52" t="s">
        <v>111</v>
      </c>
      <c r="U77" s="52" t="s">
        <v>20</v>
      </c>
      <c r="V77" s="52" t="s">
        <v>111</v>
      </c>
      <c r="W77" s="52">
        <v>3</v>
      </c>
      <c r="X77" s="52" t="s">
        <v>20</v>
      </c>
      <c r="Y77" s="52" t="s">
        <v>35</v>
      </c>
      <c r="Z77" s="47" t="s">
        <v>23</v>
      </c>
      <c r="AA77" s="52" t="s">
        <v>21</v>
      </c>
      <c r="AB77" s="52" t="s">
        <v>22</v>
      </c>
      <c r="AC77" s="52" t="s">
        <v>35</v>
      </c>
      <c r="AD77" s="52" t="s">
        <v>158</v>
      </c>
      <c r="AE77" s="52" t="s">
        <v>159</v>
      </c>
      <c r="AF77" s="52" t="s">
        <v>160</v>
      </c>
      <c r="AG77" s="52" t="s">
        <v>161</v>
      </c>
      <c r="AH77" s="52">
        <v>55055</v>
      </c>
      <c r="AI77" s="53" t="s">
        <v>106</v>
      </c>
      <c r="AJ77" s="53" t="s">
        <v>208</v>
      </c>
    </row>
    <row r="78" spans="1:38" s="52" customFormat="1">
      <c r="A78" s="52" t="str">
        <f t="shared" si="1"/>
        <v>createAndConfirmGuidedBookingPetsandLive_LIVE_ColdBloodedAnimal_Domestic</v>
      </c>
      <c r="B78" s="52" t="s">
        <v>309</v>
      </c>
      <c r="C78" s="52" t="s">
        <v>223</v>
      </c>
      <c r="D78" s="46" t="s">
        <v>125</v>
      </c>
      <c r="E78" s="44" t="s">
        <v>124</v>
      </c>
      <c r="F78" s="52" t="b">
        <v>1</v>
      </c>
      <c r="G78" s="52" t="s">
        <v>35</v>
      </c>
      <c r="H78" s="52" t="s">
        <v>142</v>
      </c>
      <c r="I78" s="52" t="s">
        <v>165</v>
      </c>
      <c r="J78" s="52" t="s">
        <v>225</v>
      </c>
      <c r="K78" s="52" t="s">
        <v>301</v>
      </c>
      <c r="L78" s="52">
        <v>30</v>
      </c>
      <c r="M78" s="52" t="s">
        <v>197</v>
      </c>
      <c r="N78" s="52">
        <v>1</v>
      </c>
      <c r="O78" s="52">
        <v>10</v>
      </c>
      <c r="P78" s="52">
        <v>10</v>
      </c>
      <c r="Q78" s="52">
        <v>10</v>
      </c>
      <c r="R78" s="52" t="s">
        <v>255</v>
      </c>
      <c r="S78" s="52" t="s">
        <v>19</v>
      </c>
      <c r="T78" s="52" t="s">
        <v>20</v>
      </c>
      <c r="U78" s="52" t="s">
        <v>20</v>
      </c>
      <c r="V78" s="52" t="s">
        <v>20</v>
      </c>
      <c r="W78" s="52">
        <v>4</v>
      </c>
      <c r="X78" s="52" t="s">
        <v>20</v>
      </c>
      <c r="Y78" s="52" t="s">
        <v>35</v>
      </c>
      <c r="Z78" s="47" t="s">
        <v>23</v>
      </c>
      <c r="AA78" s="52" t="s">
        <v>21</v>
      </c>
      <c r="AB78" s="52" t="s">
        <v>22</v>
      </c>
      <c r="AC78" s="52" t="s">
        <v>35</v>
      </c>
      <c r="AD78" s="52" t="s">
        <v>158</v>
      </c>
      <c r="AE78" s="52" t="s">
        <v>159</v>
      </c>
      <c r="AF78" s="52" t="s">
        <v>160</v>
      </c>
      <c r="AG78" s="52" t="s">
        <v>161</v>
      </c>
      <c r="AH78" s="52">
        <v>55055</v>
      </c>
      <c r="AI78" s="53" t="s">
        <v>106</v>
      </c>
      <c r="AJ78" s="53" t="s">
        <v>208</v>
      </c>
    </row>
    <row r="79" spans="1:38" s="52" customFormat="1">
      <c r="A79" s="52" t="str">
        <f t="shared" si="1"/>
        <v>createAndConfirmGuidedBookingPetsandLive_LIVE_Dog_Domestic</v>
      </c>
      <c r="B79" s="52" t="s">
        <v>309</v>
      </c>
      <c r="C79" s="52" t="s">
        <v>223</v>
      </c>
      <c r="D79" s="46" t="s">
        <v>125</v>
      </c>
      <c r="E79" s="44" t="s">
        <v>124</v>
      </c>
      <c r="F79" s="52" t="b">
        <v>1</v>
      </c>
      <c r="G79" s="52" t="s">
        <v>35</v>
      </c>
      <c r="H79" s="52" t="s">
        <v>142</v>
      </c>
      <c r="I79" s="52" t="s">
        <v>165</v>
      </c>
      <c r="J79" s="52" t="s">
        <v>226</v>
      </c>
      <c r="K79" s="52" t="s">
        <v>301</v>
      </c>
      <c r="L79" s="52">
        <v>40</v>
      </c>
      <c r="M79" s="52" t="s">
        <v>145</v>
      </c>
      <c r="N79" s="52">
        <v>1</v>
      </c>
      <c r="O79" s="52">
        <v>10</v>
      </c>
      <c r="P79" s="52">
        <v>10</v>
      </c>
      <c r="Q79" s="52">
        <v>10</v>
      </c>
      <c r="R79" s="52" t="s">
        <v>152</v>
      </c>
      <c r="S79" s="52" t="s">
        <v>19</v>
      </c>
      <c r="T79" s="52" t="s">
        <v>111</v>
      </c>
      <c r="U79" s="52" t="s">
        <v>20</v>
      </c>
      <c r="V79" s="52" t="s">
        <v>111</v>
      </c>
      <c r="W79" s="52">
        <v>5</v>
      </c>
      <c r="X79" s="52" t="s">
        <v>20</v>
      </c>
      <c r="Y79" s="52" t="s">
        <v>35</v>
      </c>
      <c r="Z79" s="47" t="s">
        <v>23</v>
      </c>
      <c r="AA79" s="52" t="s">
        <v>21</v>
      </c>
      <c r="AB79" s="52" t="s">
        <v>22</v>
      </c>
      <c r="AC79" s="52" t="s">
        <v>35</v>
      </c>
      <c r="AD79" s="52" t="s">
        <v>158</v>
      </c>
      <c r="AE79" s="52" t="s">
        <v>159</v>
      </c>
      <c r="AF79" s="52" t="s">
        <v>160</v>
      </c>
      <c r="AG79" s="52" t="s">
        <v>161</v>
      </c>
      <c r="AH79" s="52">
        <v>55055</v>
      </c>
      <c r="AI79" s="53" t="s">
        <v>106</v>
      </c>
      <c r="AJ79" s="53" t="s">
        <v>208</v>
      </c>
    </row>
    <row r="80" spans="1:38" s="52" customFormat="1">
      <c r="A80" s="52" t="str">
        <f t="shared" si="1"/>
        <v>createAndConfirmGuidedBookingPetsandLive_LIVE_HatchingEggs_Domestic</v>
      </c>
      <c r="B80" s="52" t="s">
        <v>309</v>
      </c>
      <c r="C80" s="52" t="s">
        <v>223</v>
      </c>
      <c r="D80" s="46" t="s">
        <v>125</v>
      </c>
      <c r="E80" s="44" t="s">
        <v>124</v>
      </c>
      <c r="F80" s="52" t="b">
        <v>1</v>
      </c>
      <c r="G80" s="52" t="s">
        <v>35</v>
      </c>
      <c r="H80" s="52" t="s">
        <v>142</v>
      </c>
      <c r="I80" s="52" t="s">
        <v>165</v>
      </c>
      <c r="J80" s="52" t="s">
        <v>222</v>
      </c>
      <c r="K80" s="52" t="s">
        <v>301</v>
      </c>
      <c r="L80" s="52">
        <v>10</v>
      </c>
      <c r="M80" s="52" t="s">
        <v>197</v>
      </c>
      <c r="N80" s="52">
        <v>1</v>
      </c>
      <c r="O80" s="52">
        <v>10</v>
      </c>
      <c r="P80" s="52">
        <v>10</v>
      </c>
      <c r="Q80" s="52">
        <v>10</v>
      </c>
      <c r="R80" s="52" t="s">
        <v>255</v>
      </c>
      <c r="S80" s="52" t="s">
        <v>19</v>
      </c>
      <c r="T80" s="52" t="s">
        <v>20</v>
      </c>
      <c r="U80" s="52" t="s">
        <v>20</v>
      </c>
      <c r="V80" s="52" t="s">
        <v>20</v>
      </c>
      <c r="W80" s="52">
        <v>6</v>
      </c>
      <c r="X80" s="52" t="s">
        <v>20</v>
      </c>
      <c r="Y80" s="52" t="s">
        <v>35</v>
      </c>
      <c r="Z80" s="47" t="s">
        <v>23</v>
      </c>
      <c r="AA80" s="52" t="s">
        <v>21</v>
      </c>
      <c r="AB80" s="52" t="s">
        <v>22</v>
      </c>
      <c r="AC80" s="52" t="s">
        <v>35</v>
      </c>
      <c r="AD80" s="52" t="s">
        <v>158</v>
      </c>
      <c r="AE80" s="52" t="s">
        <v>159</v>
      </c>
      <c r="AF80" s="52" t="s">
        <v>160</v>
      </c>
      <c r="AG80" s="52" t="s">
        <v>161</v>
      </c>
      <c r="AH80" s="52">
        <v>55055</v>
      </c>
      <c r="AI80" s="53" t="s">
        <v>106</v>
      </c>
      <c r="AJ80" s="53" t="s">
        <v>208</v>
      </c>
    </row>
    <row r="81" spans="1:36" s="52" customFormat="1">
      <c r="A81" s="52" t="str">
        <f t="shared" si="1"/>
        <v>createAndConfirmGuidedBookingPetsandLive_LIVE_WarmBloodedAnimal_Domestic</v>
      </c>
      <c r="B81" s="52" t="s">
        <v>309</v>
      </c>
      <c r="C81" s="52" t="s">
        <v>223</v>
      </c>
      <c r="D81" s="46" t="s">
        <v>125</v>
      </c>
      <c r="E81" s="44" t="s">
        <v>124</v>
      </c>
      <c r="F81" s="52" t="b">
        <v>1</v>
      </c>
      <c r="G81" s="52" t="s">
        <v>35</v>
      </c>
      <c r="H81" s="52" t="s">
        <v>142</v>
      </c>
      <c r="I81" s="52" t="s">
        <v>308</v>
      </c>
      <c r="J81" s="52" t="s">
        <v>227</v>
      </c>
      <c r="K81" s="52" t="s">
        <v>301</v>
      </c>
      <c r="L81" s="52">
        <v>40</v>
      </c>
      <c r="M81" s="52" t="s">
        <v>145</v>
      </c>
      <c r="N81" s="52">
        <v>1</v>
      </c>
      <c r="O81" s="52">
        <v>10</v>
      </c>
      <c r="P81" s="52">
        <v>10</v>
      </c>
      <c r="Q81" s="52">
        <v>10</v>
      </c>
      <c r="R81" s="52" t="s">
        <v>152</v>
      </c>
      <c r="S81" s="52" t="s">
        <v>19</v>
      </c>
      <c r="T81" s="52" t="s">
        <v>111</v>
      </c>
      <c r="U81" s="52" t="s">
        <v>20</v>
      </c>
      <c r="V81" s="52" t="s">
        <v>111</v>
      </c>
      <c r="W81" s="52">
        <v>7</v>
      </c>
      <c r="X81" s="52" t="s">
        <v>20</v>
      </c>
      <c r="Y81" s="52" t="s">
        <v>35</v>
      </c>
      <c r="Z81" s="47" t="s">
        <v>23</v>
      </c>
      <c r="AA81" s="52" t="s">
        <v>21</v>
      </c>
      <c r="AB81" s="52" t="s">
        <v>22</v>
      </c>
      <c r="AC81" s="52" t="s">
        <v>35</v>
      </c>
      <c r="AD81" s="52" t="s">
        <v>158</v>
      </c>
      <c r="AE81" s="52" t="s">
        <v>159</v>
      </c>
      <c r="AF81" s="52" t="s">
        <v>160</v>
      </c>
      <c r="AG81" s="52" t="s">
        <v>161</v>
      </c>
      <c r="AH81" s="52">
        <v>55055</v>
      </c>
      <c r="AI81" s="53" t="s">
        <v>106</v>
      </c>
      <c r="AJ81" s="53" t="s">
        <v>208</v>
      </c>
    </row>
    <row r="82" spans="1:36" s="52" customFormat="1">
      <c r="A82" s="52" t="str">
        <f t="shared" si="1"/>
        <v>createAndConfirmGuidedBookingPetsandLive_SPECIALIZED_LIVE_Bird_International</v>
      </c>
      <c r="B82" s="52" t="s">
        <v>309</v>
      </c>
      <c r="C82" s="52" t="s">
        <v>238</v>
      </c>
      <c r="D82" s="46" t="s">
        <v>125</v>
      </c>
      <c r="E82" s="44" t="s">
        <v>124</v>
      </c>
      <c r="F82" s="52" t="b">
        <v>1</v>
      </c>
      <c r="G82" s="52" t="s">
        <v>35</v>
      </c>
      <c r="H82" s="52" t="s">
        <v>142</v>
      </c>
      <c r="I82" s="52" t="s">
        <v>165</v>
      </c>
      <c r="J82" s="52" t="s">
        <v>216</v>
      </c>
      <c r="K82" s="52" t="s">
        <v>301</v>
      </c>
      <c r="L82" s="52">
        <v>10</v>
      </c>
      <c r="M82" s="52" t="s">
        <v>197</v>
      </c>
      <c r="N82" s="52">
        <v>1</v>
      </c>
      <c r="O82" s="52">
        <v>10</v>
      </c>
      <c r="P82" s="52">
        <v>10</v>
      </c>
      <c r="Q82" s="52">
        <v>10</v>
      </c>
      <c r="R82" s="52" t="s">
        <v>255</v>
      </c>
      <c r="S82" s="52" t="s">
        <v>19</v>
      </c>
      <c r="T82" s="52" t="s">
        <v>20</v>
      </c>
      <c r="U82" s="52" t="s">
        <v>20</v>
      </c>
      <c r="V82" s="52" t="s">
        <v>20</v>
      </c>
      <c r="W82" s="52">
        <v>2</v>
      </c>
      <c r="X82" s="52" t="s">
        <v>20</v>
      </c>
      <c r="Y82" s="52" t="s">
        <v>35</v>
      </c>
      <c r="Z82" s="47" t="s">
        <v>23</v>
      </c>
      <c r="AA82" s="52" t="s">
        <v>21</v>
      </c>
      <c r="AB82" s="52" t="s">
        <v>22</v>
      </c>
      <c r="AC82" s="52" t="s">
        <v>35</v>
      </c>
      <c r="AD82" s="52" t="s">
        <v>158</v>
      </c>
      <c r="AE82" s="52" t="s">
        <v>159</v>
      </c>
      <c r="AF82" s="52" t="s">
        <v>160</v>
      </c>
      <c r="AG82" s="52" t="s">
        <v>161</v>
      </c>
      <c r="AH82" s="52">
        <v>55055</v>
      </c>
      <c r="AI82" s="53" t="s">
        <v>266</v>
      </c>
      <c r="AJ82" s="53" t="s">
        <v>212</v>
      </c>
    </row>
    <row r="83" spans="1:36" s="52" customFormat="1">
      <c r="A83" s="52" t="str">
        <f t="shared" si="1"/>
        <v>createAndConfirmGuidedBookingPetsandLive_SPECIALIZED_LIVE_Cat_International</v>
      </c>
      <c r="B83" s="52" t="s">
        <v>309</v>
      </c>
      <c r="C83" s="52" t="s">
        <v>238</v>
      </c>
      <c r="D83" s="46" t="s">
        <v>125</v>
      </c>
      <c r="E83" s="44" t="s">
        <v>124</v>
      </c>
      <c r="F83" s="52" t="b">
        <v>1</v>
      </c>
      <c r="G83" s="52" t="s">
        <v>35</v>
      </c>
      <c r="H83" s="52" t="s">
        <v>142</v>
      </c>
      <c r="I83" s="52" t="s">
        <v>165</v>
      </c>
      <c r="J83" s="52" t="s">
        <v>39</v>
      </c>
      <c r="K83" s="52" t="s">
        <v>301</v>
      </c>
      <c r="L83" s="52">
        <v>30</v>
      </c>
      <c r="M83" s="52" t="s">
        <v>145</v>
      </c>
      <c r="N83" s="52">
        <v>1</v>
      </c>
      <c r="O83" s="52">
        <v>10</v>
      </c>
      <c r="P83" s="52">
        <v>10</v>
      </c>
      <c r="Q83" s="52">
        <v>10</v>
      </c>
      <c r="R83" s="52" t="s">
        <v>152</v>
      </c>
      <c r="S83" s="52" t="s">
        <v>19</v>
      </c>
      <c r="T83" s="52" t="s">
        <v>111</v>
      </c>
      <c r="U83" s="52" t="s">
        <v>20</v>
      </c>
      <c r="V83" s="52" t="s">
        <v>111</v>
      </c>
      <c r="W83" s="52">
        <v>3</v>
      </c>
      <c r="X83" s="52" t="s">
        <v>20</v>
      </c>
      <c r="Y83" s="52" t="s">
        <v>35</v>
      </c>
      <c r="Z83" s="47" t="s">
        <v>23</v>
      </c>
      <c r="AA83" s="52" t="s">
        <v>21</v>
      </c>
      <c r="AB83" s="52" t="s">
        <v>22</v>
      </c>
      <c r="AC83" s="52" t="s">
        <v>35</v>
      </c>
      <c r="AD83" s="52" t="s">
        <v>158</v>
      </c>
      <c r="AE83" s="52" t="s">
        <v>159</v>
      </c>
      <c r="AF83" s="52" t="s">
        <v>160</v>
      </c>
      <c r="AG83" s="52" t="s">
        <v>161</v>
      </c>
      <c r="AH83" s="52">
        <v>55055</v>
      </c>
      <c r="AI83" s="53" t="s">
        <v>266</v>
      </c>
      <c r="AJ83" s="53" t="s">
        <v>212</v>
      </c>
    </row>
    <row r="84" spans="1:36" s="52" customFormat="1">
      <c r="A84" s="52" t="str">
        <f t="shared" si="1"/>
        <v>createAndConfirmGuidedBookingPetsandLive_SPECIALIZED_LIVE_ColdBloodedAnimal_International</v>
      </c>
      <c r="B84" s="52" t="s">
        <v>309</v>
      </c>
      <c r="C84" s="52" t="s">
        <v>238</v>
      </c>
      <c r="D84" s="46" t="s">
        <v>125</v>
      </c>
      <c r="E84" s="44" t="s">
        <v>124</v>
      </c>
      <c r="F84" s="52" t="b">
        <v>1</v>
      </c>
      <c r="G84" s="52" t="s">
        <v>35</v>
      </c>
      <c r="H84" s="52" t="s">
        <v>142</v>
      </c>
      <c r="I84" s="52" t="s">
        <v>165</v>
      </c>
      <c r="J84" s="52" t="s">
        <v>225</v>
      </c>
      <c r="K84" s="52" t="s">
        <v>301</v>
      </c>
      <c r="L84" s="52">
        <v>60</v>
      </c>
      <c r="M84" s="52" t="s">
        <v>197</v>
      </c>
      <c r="N84" s="52">
        <v>1</v>
      </c>
      <c r="O84" s="52">
        <v>10</v>
      </c>
      <c r="P84" s="52">
        <v>10</v>
      </c>
      <c r="Q84" s="52">
        <v>10</v>
      </c>
      <c r="R84" s="52" t="s">
        <v>255</v>
      </c>
      <c r="S84" s="52" t="s">
        <v>19</v>
      </c>
      <c r="T84" s="52" t="s">
        <v>20</v>
      </c>
      <c r="U84" s="52" t="s">
        <v>20</v>
      </c>
      <c r="V84" s="52" t="s">
        <v>20</v>
      </c>
      <c r="W84" s="52">
        <v>4</v>
      </c>
      <c r="X84" s="52" t="s">
        <v>20</v>
      </c>
      <c r="Y84" s="52" t="s">
        <v>35</v>
      </c>
      <c r="Z84" s="47" t="s">
        <v>23</v>
      </c>
      <c r="AA84" s="52" t="s">
        <v>21</v>
      </c>
      <c r="AB84" s="52" t="s">
        <v>22</v>
      </c>
      <c r="AC84" s="52" t="s">
        <v>35</v>
      </c>
      <c r="AD84" s="52" t="s">
        <v>158</v>
      </c>
      <c r="AE84" s="52" t="s">
        <v>159</v>
      </c>
      <c r="AF84" s="52" t="s">
        <v>160</v>
      </c>
      <c r="AG84" s="52" t="s">
        <v>161</v>
      </c>
      <c r="AH84" s="52">
        <v>55055</v>
      </c>
      <c r="AI84" s="53" t="s">
        <v>266</v>
      </c>
      <c r="AJ84" s="53" t="s">
        <v>212</v>
      </c>
    </row>
    <row r="85" spans="1:36" s="52" customFormat="1">
      <c r="A85" s="52" t="str">
        <f t="shared" si="1"/>
        <v>createAndConfirmGuidedBookingPetsandLive_SPECIALIZED_LIVE_Dog_International</v>
      </c>
      <c r="B85" s="52" t="s">
        <v>309</v>
      </c>
      <c r="C85" s="52" t="s">
        <v>238</v>
      </c>
      <c r="D85" s="46" t="s">
        <v>125</v>
      </c>
      <c r="E85" s="44" t="s">
        <v>124</v>
      </c>
      <c r="F85" s="52" t="b">
        <v>1</v>
      </c>
      <c r="G85" s="52" t="s">
        <v>35</v>
      </c>
      <c r="H85" s="52" t="s">
        <v>142</v>
      </c>
      <c r="I85" s="52" t="s">
        <v>165</v>
      </c>
      <c r="J85" s="52" t="s">
        <v>226</v>
      </c>
      <c r="K85" s="52" t="s">
        <v>301</v>
      </c>
      <c r="L85" s="52">
        <v>20</v>
      </c>
      <c r="M85" s="52" t="s">
        <v>145</v>
      </c>
      <c r="N85" s="52">
        <v>1</v>
      </c>
      <c r="O85" s="52">
        <v>10</v>
      </c>
      <c r="P85" s="52">
        <v>10</v>
      </c>
      <c r="Q85" s="52">
        <v>10</v>
      </c>
      <c r="R85" s="52" t="s">
        <v>152</v>
      </c>
      <c r="S85" s="52" t="s">
        <v>19</v>
      </c>
      <c r="T85" s="52" t="s">
        <v>111</v>
      </c>
      <c r="U85" s="52" t="s">
        <v>20</v>
      </c>
      <c r="V85" s="52" t="s">
        <v>111</v>
      </c>
      <c r="W85" s="52">
        <v>5</v>
      </c>
      <c r="X85" s="52" t="s">
        <v>20</v>
      </c>
      <c r="Y85" s="52" t="s">
        <v>35</v>
      </c>
      <c r="Z85" s="47" t="s">
        <v>23</v>
      </c>
      <c r="AA85" s="52" t="s">
        <v>21</v>
      </c>
      <c r="AB85" s="52" t="s">
        <v>22</v>
      </c>
      <c r="AC85" s="52" t="s">
        <v>35</v>
      </c>
      <c r="AD85" s="52" t="s">
        <v>158</v>
      </c>
      <c r="AE85" s="52" t="s">
        <v>159</v>
      </c>
      <c r="AF85" s="52" t="s">
        <v>160</v>
      </c>
      <c r="AG85" s="52" t="s">
        <v>161</v>
      </c>
      <c r="AH85" s="52">
        <v>55055</v>
      </c>
      <c r="AI85" s="53" t="s">
        <v>266</v>
      </c>
      <c r="AJ85" s="53" t="s">
        <v>212</v>
      </c>
    </row>
    <row r="86" spans="1:36" s="52" customFormat="1">
      <c r="A86" s="52" t="str">
        <f t="shared" si="1"/>
        <v>createAndConfirmGuidedBookingPetsandLive_SPECIALIZED_LIVE_HatchingEggs_International</v>
      </c>
      <c r="B86" s="52" t="s">
        <v>309</v>
      </c>
      <c r="C86" s="52" t="s">
        <v>238</v>
      </c>
      <c r="D86" s="46" t="s">
        <v>125</v>
      </c>
      <c r="E86" s="44" t="s">
        <v>124</v>
      </c>
      <c r="F86" s="52" t="b">
        <v>1</v>
      </c>
      <c r="G86" s="52" t="s">
        <v>35</v>
      </c>
      <c r="H86" s="52" t="s">
        <v>142</v>
      </c>
      <c r="I86" s="52" t="s">
        <v>165</v>
      </c>
      <c r="J86" s="52" t="s">
        <v>222</v>
      </c>
      <c r="K86" s="52" t="s">
        <v>301</v>
      </c>
      <c r="L86" s="52">
        <v>10</v>
      </c>
      <c r="M86" s="52" t="s">
        <v>197</v>
      </c>
      <c r="N86" s="52">
        <v>1</v>
      </c>
      <c r="O86" s="52">
        <v>10</v>
      </c>
      <c r="P86" s="52">
        <v>10</v>
      </c>
      <c r="Q86" s="52">
        <v>10</v>
      </c>
      <c r="R86" s="52" t="s">
        <v>255</v>
      </c>
      <c r="S86" s="52" t="s">
        <v>19</v>
      </c>
      <c r="T86" s="52" t="s">
        <v>20</v>
      </c>
      <c r="U86" s="52" t="s">
        <v>20</v>
      </c>
      <c r="V86" s="52" t="s">
        <v>20</v>
      </c>
      <c r="W86" s="52">
        <v>6</v>
      </c>
      <c r="X86" s="52" t="s">
        <v>20</v>
      </c>
      <c r="Y86" s="52" t="s">
        <v>35</v>
      </c>
      <c r="Z86" s="47" t="s">
        <v>23</v>
      </c>
      <c r="AA86" s="52" t="s">
        <v>21</v>
      </c>
      <c r="AB86" s="52" t="s">
        <v>22</v>
      </c>
      <c r="AC86" s="52" t="s">
        <v>35</v>
      </c>
      <c r="AD86" s="52" t="s">
        <v>158</v>
      </c>
      <c r="AE86" s="52" t="s">
        <v>159</v>
      </c>
      <c r="AF86" s="52" t="s">
        <v>160</v>
      </c>
      <c r="AG86" s="52" t="s">
        <v>161</v>
      </c>
      <c r="AH86" s="52">
        <v>55055</v>
      </c>
      <c r="AI86" s="53" t="s">
        <v>266</v>
      </c>
      <c r="AJ86" s="53" t="s">
        <v>212</v>
      </c>
    </row>
    <row r="87" spans="1:36" s="52" customFormat="1">
      <c r="A87" s="52" t="str">
        <f t="shared" si="1"/>
        <v>createAndConfirmGuidedBookingPetsandLive_SPECIALIZED_LIVE_WarmBloodedAnimal_International</v>
      </c>
      <c r="B87" s="52" t="s">
        <v>309</v>
      </c>
      <c r="C87" s="52" t="s">
        <v>238</v>
      </c>
      <c r="D87" s="46" t="s">
        <v>125</v>
      </c>
      <c r="E87" s="44" t="s">
        <v>124</v>
      </c>
      <c r="F87" s="52" t="b">
        <v>1</v>
      </c>
      <c r="G87" s="52" t="s">
        <v>35</v>
      </c>
      <c r="H87" s="52" t="s">
        <v>142</v>
      </c>
      <c r="I87" s="52" t="s">
        <v>165</v>
      </c>
      <c r="J87" s="52" t="s">
        <v>227</v>
      </c>
      <c r="K87" s="52" t="s">
        <v>301</v>
      </c>
      <c r="L87" s="52">
        <v>90</v>
      </c>
      <c r="M87" s="52" t="s">
        <v>145</v>
      </c>
      <c r="N87" s="52">
        <v>1</v>
      </c>
      <c r="O87" s="52">
        <v>10</v>
      </c>
      <c r="P87" s="52">
        <v>10</v>
      </c>
      <c r="Q87" s="52">
        <v>10</v>
      </c>
      <c r="R87" s="52" t="s">
        <v>152</v>
      </c>
      <c r="S87" s="52" t="s">
        <v>19</v>
      </c>
      <c r="T87" s="52" t="s">
        <v>111</v>
      </c>
      <c r="U87" s="52" t="s">
        <v>20</v>
      </c>
      <c r="V87" s="52" t="s">
        <v>111</v>
      </c>
      <c r="W87" s="52">
        <v>7</v>
      </c>
      <c r="X87" s="52" t="s">
        <v>20</v>
      </c>
      <c r="Y87" s="52" t="s">
        <v>35</v>
      </c>
      <c r="Z87" s="47" t="s">
        <v>23</v>
      </c>
      <c r="AA87" s="52" t="s">
        <v>21</v>
      </c>
      <c r="AB87" s="52" t="s">
        <v>22</v>
      </c>
      <c r="AC87" s="52" t="s">
        <v>35</v>
      </c>
      <c r="AD87" s="52" t="s">
        <v>158</v>
      </c>
      <c r="AE87" s="52" t="s">
        <v>159</v>
      </c>
      <c r="AF87" s="52" t="s">
        <v>160</v>
      </c>
      <c r="AG87" s="52" t="s">
        <v>161</v>
      </c>
      <c r="AH87" s="52">
        <v>55055</v>
      </c>
      <c r="AI87" s="53" t="s">
        <v>266</v>
      </c>
      <c r="AJ87" s="53" t="s">
        <v>212</v>
      </c>
    </row>
    <row r="88" spans="1:36" s="1" customFormat="1">
      <c r="A88" s="1" t="str">
        <f t="shared" si="1"/>
        <v>createAndConfirmGuidedBookingPerishables_FRESH_Fresh1Activecontainer_Domestic</v>
      </c>
      <c r="B88" s="1" t="s">
        <v>27</v>
      </c>
      <c r="C88" s="1" t="s">
        <v>190</v>
      </c>
      <c r="D88" s="46" t="s">
        <v>125</v>
      </c>
      <c r="E88" s="44" t="s">
        <v>124</v>
      </c>
      <c r="F88" s="1" t="b">
        <v>1</v>
      </c>
      <c r="G88" s="1" t="s">
        <v>35</v>
      </c>
      <c r="H88" s="1" t="s">
        <v>142</v>
      </c>
      <c r="I88" s="1" t="s">
        <v>165</v>
      </c>
      <c r="J88" s="1" t="s">
        <v>57</v>
      </c>
      <c r="K88" s="1" t="s">
        <v>304</v>
      </c>
      <c r="L88" s="1">
        <v>11</v>
      </c>
      <c r="M88" s="1" t="s">
        <v>197</v>
      </c>
      <c r="N88" s="1">
        <v>1</v>
      </c>
      <c r="O88" s="1">
        <v>10</v>
      </c>
      <c r="P88" s="1">
        <v>10</v>
      </c>
      <c r="Q88" s="1">
        <v>10</v>
      </c>
      <c r="R88" s="1" t="s">
        <v>255</v>
      </c>
      <c r="S88" s="1" t="s">
        <v>35</v>
      </c>
      <c r="T88" s="1" t="s">
        <v>20</v>
      </c>
      <c r="U88" s="1" t="s">
        <v>20</v>
      </c>
      <c r="V88" s="1" t="s">
        <v>20</v>
      </c>
      <c r="W88" s="1">
        <v>3</v>
      </c>
      <c r="X88" s="1" t="s">
        <v>20</v>
      </c>
      <c r="Y88" s="1" t="s">
        <v>264</v>
      </c>
      <c r="Z88" s="47" t="s">
        <v>23</v>
      </c>
      <c r="AA88" s="1" t="s">
        <v>21</v>
      </c>
      <c r="AB88" s="1" t="s">
        <v>22</v>
      </c>
      <c r="AC88" s="1" t="s">
        <v>35</v>
      </c>
      <c r="AD88" s="1" t="s">
        <v>158</v>
      </c>
      <c r="AE88" s="1" t="s">
        <v>159</v>
      </c>
      <c r="AF88" s="1" t="s">
        <v>160</v>
      </c>
      <c r="AG88" s="1" t="s">
        <v>161</v>
      </c>
      <c r="AH88" s="1">
        <v>55055</v>
      </c>
      <c r="AI88" s="54" t="s">
        <v>106</v>
      </c>
      <c r="AJ88" s="54" t="s">
        <v>208</v>
      </c>
    </row>
    <row r="89" spans="1:36" s="1" customFormat="1">
      <c r="A89" s="1" t="str">
        <f t="shared" si="1"/>
        <v>createAndConfirmGuidedBookingPerishables_FRESH_Fresh2Temperaturecontrolledbetween2Cto8C_Domestic</v>
      </c>
      <c r="B89" s="1" t="s">
        <v>27</v>
      </c>
      <c r="C89" s="1" t="s">
        <v>190</v>
      </c>
      <c r="D89" s="46" t="s">
        <v>125</v>
      </c>
      <c r="E89" s="44" t="s">
        <v>124</v>
      </c>
      <c r="F89" s="1" t="b">
        <v>1</v>
      </c>
      <c r="G89" s="1" t="s">
        <v>35</v>
      </c>
      <c r="H89" s="1" t="s">
        <v>142</v>
      </c>
      <c r="I89" s="1" t="s">
        <v>165</v>
      </c>
      <c r="J89" s="1" t="s">
        <v>115</v>
      </c>
      <c r="K89" s="1" t="s">
        <v>304</v>
      </c>
      <c r="L89" s="1">
        <v>12</v>
      </c>
      <c r="M89" s="1" t="s">
        <v>145</v>
      </c>
      <c r="N89" s="1">
        <v>1</v>
      </c>
      <c r="O89" s="1">
        <v>10</v>
      </c>
      <c r="P89" s="1">
        <v>10</v>
      </c>
      <c r="Q89" s="1">
        <v>10</v>
      </c>
      <c r="R89" s="1" t="s">
        <v>152</v>
      </c>
      <c r="S89" s="1" t="s">
        <v>19</v>
      </c>
      <c r="T89" s="1" t="s">
        <v>20</v>
      </c>
      <c r="U89" s="1" t="s">
        <v>20</v>
      </c>
      <c r="V89" s="1" t="s">
        <v>20</v>
      </c>
      <c r="W89" s="1">
        <v>4</v>
      </c>
      <c r="X89" s="1" t="s">
        <v>20</v>
      </c>
      <c r="Y89" s="1" t="s">
        <v>35</v>
      </c>
      <c r="Z89" s="47" t="s">
        <v>23</v>
      </c>
      <c r="AA89" s="1" t="s">
        <v>21</v>
      </c>
      <c r="AB89" s="1" t="s">
        <v>22</v>
      </c>
      <c r="AC89" s="1" t="s">
        <v>35</v>
      </c>
      <c r="AD89" s="1" t="s">
        <v>158</v>
      </c>
      <c r="AE89" s="1" t="s">
        <v>159</v>
      </c>
      <c r="AF89" s="1" t="s">
        <v>160</v>
      </c>
      <c r="AG89" s="1" t="s">
        <v>161</v>
      </c>
      <c r="AH89" s="1">
        <v>55055</v>
      </c>
      <c r="AI89" s="54" t="s">
        <v>106</v>
      </c>
      <c r="AJ89" s="54" t="s">
        <v>208</v>
      </c>
    </row>
    <row r="90" spans="1:36" s="1" customFormat="1">
      <c r="A90" s="1" t="str">
        <f t="shared" si="1"/>
        <v>createAndConfirmGuidedBookingPerishables_DSH_Fresh3Flowersbetween2Cto25C_Domestic</v>
      </c>
      <c r="B90" s="1" t="s">
        <v>27</v>
      </c>
      <c r="C90" s="1" t="s">
        <v>113</v>
      </c>
      <c r="D90" s="46" t="s">
        <v>125</v>
      </c>
      <c r="E90" s="44" t="s">
        <v>124</v>
      </c>
      <c r="F90" s="1" t="b">
        <v>1</v>
      </c>
      <c r="G90" s="1" t="s">
        <v>35</v>
      </c>
      <c r="H90" s="1" t="s">
        <v>142</v>
      </c>
      <c r="I90" s="1" t="s">
        <v>165</v>
      </c>
      <c r="J90" s="1" t="s">
        <v>116</v>
      </c>
      <c r="K90" s="1" t="s">
        <v>304</v>
      </c>
      <c r="L90" s="1">
        <v>13</v>
      </c>
      <c r="M90" s="1" t="s">
        <v>197</v>
      </c>
      <c r="N90" s="1">
        <v>1</v>
      </c>
      <c r="O90" s="1">
        <v>10</v>
      </c>
      <c r="P90" s="1">
        <v>10</v>
      </c>
      <c r="Q90" s="1">
        <v>10</v>
      </c>
      <c r="R90" s="1" t="s">
        <v>255</v>
      </c>
      <c r="S90" s="1" t="s">
        <v>19</v>
      </c>
      <c r="T90" s="1" t="s">
        <v>20</v>
      </c>
      <c r="U90" s="1" t="s">
        <v>20</v>
      </c>
      <c r="V90" s="1" t="s">
        <v>20</v>
      </c>
      <c r="W90" s="1">
        <v>5</v>
      </c>
      <c r="X90" s="1" t="s">
        <v>20</v>
      </c>
      <c r="Y90" s="1" t="s">
        <v>35</v>
      </c>
      <c r="Z90" s="47" t="s">
        <v>23</v>
      </c>
      <c r="AA90" s="1" t="s">
        <v>21</v>
      </c>
      <c r="AB90" s="1" t="s">
        <v>22</v>
      </c>
      <c r="AC90" s="1" t="s">
        <v>35</v>
      </c>
      <c r="AD90" s="1" t="s">
        <v>158</v>
      </c>
      <c r="AE90" s="1" t="s">
        <v>159</v>
      </c>
      <c r="AF90" s="1" t="s">
        <v>160</v>
      </c>
      <c r="AG90" s="1" t="s">
        <v>161</v>
      </c>
      <c r="AH90" s="1">
        <v>55055</v>
      </c>
      <c r="AI90" s="54" t="s">
        <v>106</v>
      </c>
      <c r="AJ90" s="54" t="s">
        <v>208</v>
      </c>
    </row>
    <row r="91" spans="1:36" s="1" customFormat="1">
      <c r="A91" s="1" t="str">
        <f t="shared" si="1"/>
        <v>createAndConfirmGuidedBookingPerishables_DHV_Fresh3Foodstuffsbetween2Cto25C_Domestic</v>
      </c>
      <c r="B91" s="1" t="s">
        <v>27</v>
      </c>
      <c r="C91" s="1" t="s">
        <v>166</v>
      </c>
      <c r="D91" s="46" t="s">
        <v>125</v>
      </c>
      <c r="E91" s="44" t="s">
        <v>124</v>
      </c>
      <c r="F91" s="1" t="b">
        <v>1</v>
      </c>
      <c r="G91" s="1" t="s">
        <v>35</v>
      </c>
      <c r="H91" s="1" t="s">
        <v>142</v>
      </c>
      <c r="I91" s="1" t="s">
        <v>165</v>
      </c>
      <c r="J91" s="1" t="s">
        <v>69</v>
      </c>
      <c r="K91" s="1" t="s">
        <v>304</v>
      </c>
      <c r="L91" s="1">
        <v>14</v>
      </c>
      <c r="M91" s="1" t="s">
        <v>145</v>
      </c>
      <c r="N91" s="1">
        <v>1</v>
      </c>
      <c r="O91" s="1">
        <v>10</v>
      </c>
      <c r="P91" s="1">
        <v>10</v>
      </c>
      <c r="Q91" s="1">
        <v>10</v>
      </c>
      <c r="R91" s="1" t="s">
        <v>152</v>
      </c>
      <c r="S91" s="1" t="s">
        <v>19</v>
      </c>
      <c r="T91" s="1" t="s">
        <v>20</v>
      </c>
      <c r="U91" s="1" t="s">
        <v>20</v>
      </c>
      <c r="V91" s="1" t="s">
        <v>20</v>
      </c>
      <c r="W91" s="1">
        <v>6</v>
      </c>
      <c r="X91" s="1" t="s">
        <v>20</v>
      </c>
      <c r="Y91" s="1" t="s">
        <v>35</v>
      </c>
      <c r="Z91" s="47" t="s">
        <v>23</v>
      </c>
      <c r="AA91" s="1" t="s">
        <v>21</v>
      </c>
      <c r="AB91" s="1" t="s">
        <v>22</v>
      </c>
      <c r="AC91" s="1" t="s">
        <v>35</v>
      </c>
      <c r="AD91" s="1" t="s">
        <v>158</v>
      </c>
      <c r="AE91" s="1" t="s">
        <v>159</v>
      </c>
      <c r="AF91" s="1" t="s">
        <v>160</v>
      </c>
      <c r="AG91" s="1" t="s">
        <v>161</v>
      </c>
      <c r="AH91" s="1">
        <v>55055</v>
      </c>
      <c r="AI91" s="54" t="s">
        <v>106</v>
      </c>
      <c r="AJ91" s="54" t="s">
        <v>208</v>
      </c>
    </row>
    <row r="92" spans="1:36" s="1" customFormat="1">
      <c r="A92" s="1" t="str">
        <f t="shared" si="1"/>
        <v>createAndConfirmGuidedBookingPerishables_DMD_Fresh3Seafoodbetween2Cto25C_Domestic</v>
      </c>
      <c r="B92" s="1" t="s">
        <v>27</v>
      </c>
      <c r="C92" s="1" t="s">
        <v>163</v>
      </c>
      <c r="D92" s="46" t="s">
        <v>125</v>
      </c>
      <c r="E92" s="44" t="s">
        <v>124</v>
      </c>
      <c r="F92" s="1" t="b">
        <v>1</v>
      </c>
      <c r="G92" s="1" t="s">
        <v>35</v>
      </c>
      <c r="H92" s="1" t="s">
        <v>142</v>
      </c>
      <c r="I92" s="1" t="s">
        <v>165</v>
      </c>
      <c r="J92" s="1" t="s">
        <v>117</v>
      </c>
      <c r="K92" s="1" t="s">
        <v>304</v>
      </c>
      <c r="L92" s="1">
        <v>15</v>
      </c>
      <c r="M92" s="1" t="s">
        <v>197</v>
      </c>
      <c r="N92" s="1">
        <v>1</v>
      </c>
      <c r="O92" s="1">
        <v>10</v>
      </c>
      <c r="P92" s="1">
        <v>10</v>
      </c>
      <c r="Q92" s="1">
        <v>10</v>
      </c>
      <c r="R92" s="1" t="s">
        <v>255</v>
      </c>
      <c r="S92" s="1" t="s">
        <v>19</v>
      </c>
      <c r="T92" s="1" t="s">
        <v>20</v>
      </c>
      <c r="U92" s="1" t="s">
        <v>20</v>
      </c>
      <c r="V92" s="1" t="s">
        <v>20</v>
      </c>
      <c r="W92" s="1">
        <v>7</v>
      </c>
      <c r="X92" s="1" t="s">
        <v>20</v>
      </c>
      <c r="Y92" s="1" t="s">
        <v>35</v>
      </c>
      <c r="Z92" s="47" t="s">
        <v>23</v>
      </c>
      <c r="AA92" s="1" t="s">
        <v>21</v>
      </c>
      <c r="AB92" s="1" t="s">
        <v>22</v>
      </c>
      <c r="AC92" s="1" t="s">
        <v>35</v>
      </c>
      <c r="AD92" s="1" t="s">
        <v>158</v>
      </c>
      <c r="AE92" s="1" t="s">
        <v>159</v>
      </c>
      <c r="AF92" s="1" t="s">
        <v>160</v>
      </c>
      <c r="AG92" s="1" t="s">
        <v>161</v>
      </c>
      <c r="AH92" s="1">
        <v>55055</v>
      </c>
      <c r="AI92" s="54" t="s">
        <v>106</v>
      </c>
      <c r="AJ92" s="54" t="s">
        <v>208</v>
      </c>
    </row>
    <row r="93" spans="1:36" s="1" customFormat="1">
      <c r="A93" s="1" t="str">
        <f t="shared" si="1"/>
        <v>createAndConfirmGuidedBookingPerishables_FRESH_Fresh1Activecontainer_International</v>
      </c>
      <c r="B93" s="1" t="s">
        <v>27</v>
      </c>
      <c r="C93" s="1" t="s">
        <v>190</v>
      </c>
      <c r="D93" s="46" t="s">
        <v>125</v>
      </c>
      <c r="E93" s="44" t="s">
        <v>124</v>
      </c>
      <c r="F93" s="1" t="b">
        <v>1</v>
      </c>
      <c r="G93" s="1" t="s">
        <v>35</v>
      </c>
      <c r="H93" s="1" t="s">
        <v>142</v>
      </c>
      <c r="I93" s="1" t="s">
        <v>323</v>
      </c>
      <c r="J93" s="1" t="s">
        <v>57</v>
      </c>
      <c r="K93" s="1" t="s">
        <v>304</v>
      </c>
      <c r="L93" s="1">
        <v>10</v>
      </c>
      <c r="M93" s="1" t="s">
        <v>145</v>
      </c>
      <c r="N93" s="1">
        <v>1</v>
      </c>
      <c r="O93" s="1">
        <v>10</v>
      </c>
      <c r="P93" s="1">
        <v>10</v>
      </c>
      <c r="Q93" s="1">
        <v>10</v>
      </c>
      <c r="R93" s="1" t="s">
        <v>152</v>
      </c>
      <c r="S93" s="1" t="s">
        <v>35</v>
      </c>
      <c r="T93" s="1" t="s">
        <v>20</v>
      </c>
      <c r="U93" s="1" t="s">
        <v>20</v>
      </c>
      <c r="V93" s="1" t="s">
        <v>20</v>
      </c>
      <c r="W93" s="1">
        <v>2</v>
      </c>
      <c r="X93" s="1" t="s">
        <v>20</v>
      </c>
      <c r="Y93" s="1" t="s">
        <v>265</v>
      </c>
      <c r="Z93" s="47" t="s">
        <v>23</v>
      </c>
      <c r="AA93" s="1" t="s">
        <v>21</v>
      </c>
      <c r="AB93" s="1" t="s">
        <v>22</v>
      </c>
      <c r="AC93" s="1" t="s">
        <v>35</v>
      </c>
      <c r="AD93" s="1" t="s">
        <v>158</v>
      </c>
      <c r="AE93" s="1" t="s">
        <v>159</v>
      </c>
      <c r="AF93" s="1" t="s">
        <v>160</v>
      </c>
      <c r="AG93" s="1" t="s">
        <v>161</v>
      </c>
      <c r="AH93" s="1">
        <v>55055</v>
      </c>
      <c r="AI93" s="54" t="s">
        <v>266</v>
      </c>
      <c r="AJ93" s="54" t="s">
        <v>212</v>
      </c>
    </row>
    <row r="94" spans="1:36" s="1" customFormat="1">
      <c r="A94" s="1" t="str">
        <f t="shared" si="1"/>
        <v>createAndConfirmGuidedBookingPerishables_FRESH_Fresh2Temperaturecontrolledbetween2Cto8C_International</v>
      </c>
      <c r="B94" s="1" t="s">
        <v>27</v>
      </c>
      <c r="C94" s="1" t="s">
        <v>190</v>
      </c>
      <c r="D94" s="46" t="s">
        <v>125</v>
      </c>
      <c r="E94" s="44" t="s">
        <v>124</v>
      </c>
      <c r="F94" s="1" t="b">
        <v>1</v>
      </c>
      <c r="G94" s="1" t="s">
        <v>35</v>
      </c>
      <c r="H94" s="1" t="s">
        <v>142</v>
      </c>
      <c r="I94" s="1" t="s">
        <v>323</v>
      </c>
      <c r="J94" s="1" t="s">
        <v>115</v>
      </c>
      <c r="K94" s="1" t="s">
        <v>304</v>
      </c>
      <c r="L94" s="1">
        <v>11</v>
      </c>
      <c r="M94" s="1" t="s">
        <v>197</v>
      </c>
      <c r="N94" s="1">
        <v>1</v>
      </c>
      <c r="O94" s="1">
        <v>10</v>
      </c>
      <c r="P94" s="1">
        <v>10</v>
      </c>
      <c r="Q94" s="1">
        <v>10</v>
      </c>
      <c r="R94" s="1" t="s">
        <v>255</v>
      </c>
      <c r="S94" s="1" t="s">
        <v>19</v>
      </c>
      <c r="T94" s="1" t="s">
        <v>20</v>
      </c>
      <c r="U94" s="1" t="s">
        <v>20</v>
      </c>
      <c r="V94" s="1" t="s">
        <v>20</v>
      </c>
      <c r="W94" s="1">
        <v>3</v>
      </c>
      <c r="X94" s="1" t="s">
        <v>20</v>
      </c>
      <c r="Y94" s="1" t="s">
        <v>35</v>
      </c>
      <c r="Z94" s="47" t="s">
        <v>23</v>
      </c>
      <c r="AA94" s="1" t="s">
        <v>21</v>
      </c>
      <c r="AB94" s="1" t="s">
        <v>22</v>
      </c>
      <c r="AC94" s="1" t="s">
        <v>35</v>
      </c>
      <c r="AD94" s="1" t="s">
        <v>158</v>
      </c>
      <c r="AE94" s="1" t="s">
        <v>159</v>
      </c>
      <c r="AF94" s="1" t="s">
        <v>160</v>
      </c>
      <c r="AG94" s="1" t="s">
        <v>161</v>
      </c>
      <c r="AH94" s="1">
        <v>55055</v>
      </c>
      <c r="AI94" s="54" t="s">
        <v>266</v>
      </c>
      <c r="AJ94" s="54" t="s">
        <v>212</v>
      </c>
    </row>
    <row r="95" spans="1:36" s="1" customFormat="1">
      <c r="A95" s="1" t="str">
        <f t="shared" si="1"/>
        <v>createAndConfirmGuidedBookingPerishables_EXPRESS_Fresh3Flowersbetween2Cto25C_International</v>
      </c>
      <c r="B95" s="1" t="s">
        <v>27</v>
      </c>
      <c r="C95" s="1" t="s">
        <v>235</v>
      </c>
      <c r="D95" s="46" t="s">
        <v>125</v>
      </c>
      <c r="E95" s="44" t="s">
        <v>124</v>
      </c>
      <c r="F95" s="1" t="b">
        <v>1</v>
      </c>
      <c r="G95" s="1" t="s">
        <v>35</v>
      </c>
      <c r="H95" s="1" t="s">
        <v>142</v>
      </c>
      <c r="I95" s="1" t="s">
        <v>323</v>
      </c>
      <c r="J95" s="1" t="s">
        <v>116</v>
      </c>
      <c r="K95" s="1" t="s">
        <v>304</v>
      </c>
      <c r="L95" s="1">
        <v>12</v>
      </c>
      <c r="M95" s="1" t="s">
        <v>145</v>
      </c>
      <c r="N95" s="1">
        <v>1</v>
      </c>
      <c r="O95" s="1">
        <v>10</v>
      </c>
      <c r="P95" s="1">
        <v>10</v>
      </c>
      <c r="Q95" s="1">
        <v>10</v>
      </c>
      <c r="R95" s="1" t="s">
        <v>152</v>
      </c>
      <c r="S95" s="1" t="s">
        <v>19</v>
      </c>
      <c r="T95" s="1" t="s">
        <v>20</v>
      </c>
      <c r="U95" s="1" t="s">
        <v>20</v>
      </c>
      <c r="V95" s="1" t="s">
        <v>20</v>
      </c>
      <c r="W95" s="1">
        <v>4</v>
      </c>
      <c r="X95" s="1" t="s">
        <v>20</v>
      </c>
      <c r="Y95" s="1" t="s">
        <v>35</v>
      </c>
      <c r="Z95" s="47" t="s">
        <v>23</v>
      </c>
      <c r="AA95" s="1" t="s">
        <v>21</v>
      </c>
      <c r="AB95" s="1" t="s">
        <v>22</v>
      </c>
      <c r="AC95" s="1" t="s">
        <v>35</v>
      </c>
      <c r="AD95" s="1" t="s">
        <v>158</v>
      </c>
      <c r="AE95" s="1" t="s">
        <v>159</v>
      </c>
      <c r="AF95" s="1" t="s">
        <v>160</v>
      </c>
      <c r="AG95" s="1" t="s">
        <v>161</v>
      </c>
      <c r="AH95" s="1">
        <v>55055</v>
      </c>
      <c r="AI95" s="54" t="s">
        <v>266</v>
      </c>
      <c r="AJ95" s="54" t="s">
        <v>212</v>
      </c>
    </row>
    <row r="96" spans="1:36" s="1" customFormat="1">
      <c r="A96" s="1" t="str">
        <f t="shared" si="1"/>
        <v>createAndConfirmGuidedBookingPerishables_EXPRESS_HEAVY_Fresh3Foodstuffsbetween2Cto25C_International</v>
      </c>
      <c r="B96" s="1" t="s">
        <v>27</v>
      </c>
      <c r="C96" s="1" t="s">
        <v>249</v>
      </c>
      <c r="D96" s="46" t="s">
        <v>125</v>
      </c>
      <c r="E96" s="44" t="s">
        <v>124</v>
      </c>
      <c r="F96" s="1" t="b">
        <v>1</v>
      </c>
      <c r="G96" s="1" t="s">
        <v>35</v>
      </c>
      <c r="H96" s="1" t="s">
        <v>142</v>
      </c>
      <c r="I96" s="1" t="s">
        <v>323</v>
      </c>
      <c r="J96" s="1" t="s">
        <v>69</v>
      </c>
      <c r="K96" s="1" t="s">
        <v>304</v>
      </c>
      <c r="L96" s="1">
        <v>130</v>
      </c>
      <c r="M96" s="1" t="s">
        <v>197</v>
      </c>
      <c r="N96" s="1">
        <v>1</v>
      </c>
      <c r="O96" s="1">
        <v>10</v>
      </c>
      <c r="P96" s="1">
        <v>10</v>
      </c>
      <c r="Q96" s="1">
        <v>10</v>
      </c>
      <c r="R96" s="1" t="s">
        <v>255</v>
      </c>
      <c r="S96" s="1" t="s">
        <v>19</v>
      </c>
      <c r="T96" s="1" t="s">
        <v>20</v>
      </c>
      <c r="U96" s="1" t="s">
        <v>20</v>
      </c>
      <c r="V96" s="1" t="s">
        <v>20</v>
      </c>
      <c r="W96" s="1">
        <v>5</v>
      </c>
      <c r="X96" s="1" t="s">
        <v>20</v>
      </c>
      <c r="Y96" s="1" t="s">
        <v>35</v>
      </c>
      <c r="Z96" s="47" t="s">
        <v>23</v>
      </c>
      <c r="AA96" s="1" t="s">
        <v>21</v>
      </c>
      <c r="AB96" s="1" t="s">
        <v>22</v>
      </c>
      <c r="AC96" s="1" t="s">
        <v>35</v>
      </c>
      <c r="AD96" s="1" t="s">
        <v>158</v>
      </c>
      <c r="AE96" s="1" t="s">
        <v>159</v>
      </c>
      <c r="AF96" s="1" t="s">
        <v>160</v>
      </c>
      <c r="AG96" s="1" t="s">
        <v>161</v>
      </c>
      <c r="AH96" s="1">
        <v>55055</v>
      </c>
      <c r="AI96" s="54" t="s">
        <v>266</v>
      </c>
      <c r="AJ96" s="54" t="s">
        <v>212</v>
      </c>
    </row>
    <row r="97" spans="1:36" s="1" customFormat="1">
      <c r="A97" s="1" t="str">
        <f t="shared" si="1"/>
        <v>createAndConfirmGuidedBookingPerishables_CRITICAL_HEAVY_Fresh3Seafoodbetween2Cto25C_International</v>
      </c>
      <c r="B97" s="1" t="s">
        <v>27</v>
      </c>
      <c r="C97" s="1" t="s">
        <v>250</v>
      </c>
      <c r="D97" s="46" t="s">
        <v>125</v>
      </c>
      <c r="E97" s="44" t="s">
        <v>124</v>
      </c>
      <c r="F97" s="1" t="b">
        <v>1</v>
      </c>
      <c r="G97" s="1" t="s">
        <v>35</v>
      </c>
      <c r="H97" s="1" t="s">
        <v>142</v>
      </c>
      <c r="I97" s="1" t="s">
        <v>323</v>
      </c>
      <c r="J97" s="1" t="s">
        <v>117</v>
      </c>
      <c r="K97" s="1" t="s">
        <v>304</v>
      </c>
      <c r="L97" s="1">
        <v>130</v>
      </c>
      <c r="M97" s="1" t="s">
        <v>197</v>
      </c>
      <c r="N97" s="1">
        <v>1</v>
      </c>
      <c r="O97" s="1">
        <v>10</v>
      </c>
      <c r="P97" s="1">
        <v>10</v>
      </c>
      <c r="Q97" s="1">
        <v>10</v>
      </c>
      <c r="R97" s="1" t="s">
        <v>152</v>
      </c>
      <c r="S97" s="1" t="s">
        <v>19</v>
      </c>
      <c r="T97" s="1" t="s">
        <v>20</v>
      </c>
      <c r="U97" s="1" t="s">
        <v>20</v>
      </c>
      <c r="V97" s="1" t="s">
        <v>20</v>
      </c>
      <c r="W97" s="1">
        <v>6</v>
      </c>
      <c r="X97" s="1" t="s">
        <v>20</v>
      </c>
      <c r="Y97" s="1" t="s">
        <v>35</v>
      </c>
      <c r="Z97" s="47" t="s">
        <v>23</v>
      </c>
      <c r="AA97" s="1" t="s">
        <v>21</v>
      </c>
      <c r="AB97" s="1" t="s">
        <v>22</v>
      </c>
      <c r="AC97" s="1" t="s">
        <v>35</v>
      </c>
      <c r="AD97" s="1" t="s">
        <v>158</v>
      </c>
      <c r="AE97" s="1" t="s">
        <v>159</v>
      </c>
      <c r="AF97" s="1" t="s">
        <v>160</v>
      </c>
      <c r="AG97" s="1" t="s">
        <v>161</v>
      </c>
      <c r="AH97" s="1">
        <v>55055</v>
      </c>
      <c r="AI97" s="54" t="s">
        <v>266</v>
      </c>
      <c r="AJ97" s="54" t="s">
        <v>212</v>
      </c>
    </row>
    <row r="98" spans="1:36" s="55" customFormat="1">
      <c r="A98" s="55" t="str">
        <f t="shared" si="1"/>
        <v>createAndConfirmGuidedBookingPharma_PHARMA_Pharma1ActiveContainer_Domestic</v>
      </c>
      <c r="B98" s="55" t="s">
        <v>45</v>
      </c>
      <c r="C98" s="55" t="s">
        <v>176</v>
      </c>
      <c r="D98" s="46" t="s">
        <v>125</v>
      </c>
      <c r="E98" s="44" t="s">
        <v>124</v>
      </c>
      <c r="F98" s="55" t="b">
        <v>1</v>
      </c>
      <c r="G98" s="55" t="s">
        <v>35</v>
      </c>
      <c r="H98" s="55" t="s">
        <v>251</v>
      </c>
      <c r="I98" s="55" t="s">
        <v>252</v>
      </c>
      <c r="J98" s="55" t="s">
        <v>54</v>
      </c>
      <c r="K98" s="55" t="s">
        <v>298</v>
      </c>
      <c r="L98" s="55">
        <v>11</v>
      </c>
      <c r="M98" s="55" t="s">
        <v>197</v>
      </c>
      <c r="N98" s="55">
        <v>1</v>
      </c>
      <c r="O98" s="55" t="s">
        <v>35</v>
      </c>
      <c r="P98" s="55" t="s">
        <v>35</v>
      </c>
      <c r="Q98" s="55" t="s">
        <v>35</v>
      </c>
      <c r="R98" s="55" t="s">
        <v>35</v>
      </c>
      <c r="S98" s="55" t="s">
        <v>35</v>
      </c>
      <c r="T98" s="55" t="s">
        <v>20</v>
      </c>
      <c r="U98" s="55" t="s">
        <v>20</v>
      </c>
      <c r="V98" s="55" t="s">
        <v>20</v>
      </c>
      <c r="W98" s="55">
        <v>3</v>
      </c>
      <c r="X98" s="55" t="s">
        <v>20</v>
      </c>
      <c r="Y98" s="55" t="s">
        <v>302</v>
      </c>
      <c r="Z98" s="47" t="s">
        <v>23</v>
      </c>
      <c r="AA98" s="55" t="s">
        <v>21</v>
      </c>
      <c r="AB98" s="55" t="s">
        <v>22</v>
      </c>
      <c r="AC98" s="55" t="s">
        <v>35</v>
      </c>
      <c r="AD98" s="55" t="s">
        <v>158</v>
      </c>
      <c r="AE98" s="55" t="s">
        <v>159</v>
      </c>
      <c r="AF98" s="55" t="s">
        <v>160</v>
      </c>
      <c r="AG98" s="55" t="s">
        <v>161</v>
      </c>
      <c r="AH98" s="55">
        <v>55055</v>
      </c>
      <c r="AI98" s="56" t="s">
        <v>106</v>
      </c>
      <c r="AJ98" s="56" t="s">
        <v>208</v>
      </c>
    </row>
    <row r="99" spans="1:36" s="55" customFormat="1">
      <c r="A99" s="55" t="str">
        <f t="shared" si="1"/>
        <v>createAndConfirmGuidedBookingPharma_PHARMA_Pharma1PassiveContainer_Domestic</v>
      </c>
      <c r="B99" s="55" t="s">
        <v>45</v>
      </c>
      <c r="C99" s="55" t="s">
        <v>176</v>
      </c>
      <c r="D99" s="46" t="s">
        <v>125</v>
      </c>
      <c r="E99" s="44" t="s">
        <v>124</v>
      </c>
      <c r="F99" s="55" t="b">
        <v>1</v>
      </c>
      <c r="G99" s="55" t="s">
        <v>35</v>
      </c>
      <c r="H99" s="55" t="s">
        <v>164</v>
      </c>
      <c r="I99" s="55" t="s">
        <v>253</v>
      </c>
      <c r="J99" s="55" t="s">
        <v>175</v>
      </c>
      <c r="K99" s="55" t="s">
        <v>298</v>
      </c>
      <c r="L99" s="55">
        <v>12</v>
      </c>
      <c r="M99" s="55" t="s">
        <v>145</v>
      </c>
      <c r="N99" s="55">
        <v>1</v>
      </c>
      <c r="O99" s="55" t="s">
        <v>35</v>
      </c>
      <c r="P99" s="55" t="s">
        <v>35</v>
      </c>
      <c r="Q99" s="55" t="s">
        <v>35</v>
      </c>
      <c r="R99" s="55" t="s">
        <v>35</v>
      </c>
      <c r="S99" s="55" t="s">
        <v>35</v>
      </c>
      <c r="T99" s="55" t="s">
        <v>20</v>
      </c>
      <c r="U99" s="55" t="s">
        <v>20</v>
      </c>
      <c r="V99" s="55" t="s">
        <v>20</v>
      </c>
      <c r="W99" s="55">
        <v>4</v>
      </c>
      <c r="X99" s="55" t="s">
        <v>20</v>
      </c>
      <c r="Y99" s="55" t="s">
        <v>303</v>
      </c>
      <c r="Z99" s="47" t="s">
        <v>23</v>
      </c>
      <c r="AA99" s="55" t="s">
        <v>21</v>
      </c>
      <c r="AB99" s="55" t="s">
        <v>22</v>
      </c>
      <c r="AC99" s="55" t="s">
        <v>35</v>
      </c>
      <c r="AD99" s="55" t="s">
        <v>158</v>
      </c>
      <c r="AE99" s="55" t="s">
        <v>159</v>
      </c>
      <c r="AF99" s="55" t="s">
        <v>160</v>
      </c>
      <c r="AG99" s="55" t="s">
        <v>161</v>
      </c>
      <c r="AH99" s="55">
        <v>55055</v>
      </c>
      <c r="AI99" s="56" t="s">
        <v>106</v>
      </c>
      <c r="AJ99" s="56" t="s">
        <v>208</v>
      </c>
    </row>
    <row r="100" spans="1:36" s="55" customFormat="1">
      <c r="A100" s="55" t="str">
        <f t="shared" si="1"/>
        <v>createAndConfirmGuidedBookingPharma_PHARMA_Pharma2Temperaturecontrolledbetween2Cto8C_Domestic</v>
      </c>
      <c r="B100" s="55" t="s">
        <v>45</v>
      </c>
      <c r="C100" s="55" t="s">
        <v>176</v>
      </c>
      <c r="D100" s="46" t="s">
        <v>125</v>
      </c>
      <c r="E100" s="44" t="s">
        <v>124</v>
      </c>
      <c r="F100" s="55" t="b">
        <v>1</v>
      </c>
      <c r="G100" s="55" t="s">
        <v>35</v>
      </c>
      <c r="H100" s="55" t="s">
        <v>231</v>
      </c>
      <c r="I100" s="55" t="s">
        <v>232</v>
      </c>
      <c r="J100" s="55" t="s">
        <v>63</v>
      </c>
      <c r="K100" s="55" t="s">
        <v>298</v>
      </c>
      <c r="L100" s="55">
        <v>55</v>
      </c>
      <c r="M100" s="55" t="s">
        <v>197</v>
      </c>
      <c r="N100" s="55">
        <v>2</v>
      </c>
      <c r="O100" s="55">
        <v>10</v>
      </c>
      <c r="P100" s="55">
        <v>10</v>
      </c>
      <c r="Q100" s="55">
        <v>10</v>
      </c>
      <c r="R100" s="55" t="s">
        <v>255</v>
      </c>
      <c r="S100" s="55" t="s">
        <v>35</v>
      </c>
      <c r="T100" s="55" t="s">
        <v>20</v>
      </c>
      <c r="U100" s="55" t="s">
        <v>20</v>
      </c>
      <c r="V100" s="55" t="s">
        <v>20</v>
      </c>
      <c r="W100" s="55">
        <v>5</v>
      </c>
      <c r="X100" s="55" t="s">
        <v>20</v>
      </c>
      <c r="Y100" s="55" t="s">
        <v>35</v>
      </c>
      <c r="Z100" s="47" t="s">
        <v>23</v>
      </c>
      <c r="AA100" s="55" t="s">
        <v>21</v>
      </c>
      <c r="AB100" s="55" t="s">
        <v>22</v>
      </c>
      <c r="AC100" s="55" t="s">
        <v>35</v>
      </c>
      <c r="AD100" s="55" t="s">
        <v>158</v>
      </c>
      <c r="AE100" s="55" t="s">
        <v>159</v>
      </c>
      <c r="AF100" s="55" t="s">
        <v>160</v>
      </c>
      <c r="AG100" s="55" t="s">
        <v>161</v>
      </c>
      <c r="AH100" s="55">
        <v>55055</v>
      </c>
      <c r="AI100" s="56" t="s">
        <v>106</v>
      </c>
      <c r="AJ100" s="56" t="s">
        <v>208</v>
      </c>
    </row>
    <row r="101" spans="1:36" s="55" customFormat="1">
      <c r="A101" s="55" t="str">
        <f t="shared" si="1"/>
        <v>createAndConfirmGuidedBookingPharma_PHARMA_Pharma3Temperaturecontrolledbetween2Cto25C_Domestic</v>
      </c>
      <c r="B101" s="55" t="s">
        <v>45</v>
      </c>
      <c r="C101" s="55" t="s">
        <v>176</v>
      </c>
      <c r="D101" s="46" t="s">
        <v>125</v>
      </c>
      <c r="E101" s="44" t="s">
        <v>124</v>
      </c>
      <c r="F101" s="55" t="b">
        <v>1</v>
      </c>
      <c r="G101" s="55" t="s">
        <v>35</v>
      </c>
      <c r="H101" s="55" t="s">
        <v>251</v>
      </c>
      <c r="I101" s="55" t="s">
        <v>143</v>
      </c>
      <c r="J101" s="55" t="s">
        <v>193</v>
      </c>
      <c r="K101" s="55" t="s">
        <v>298</v>
      </c>
      <c r="L101" s="55">
        <v>75</v>
      </c>
      <c r="M101" s="55" t="s">
        <v>145</v>
      </c>
      <c r="N101" s="55">
        <v>3</v>
      </c>
      <c r="O101" s="55">
        <v>15</v>
      </c>
      <c r="P101" s="55">
        <v>15</v>
      </c>
      <c r="Q101" s="55">
        <v>15</v>
      </c>
      <c r="R101" s="55" t="s">
        <v>152</v>
      </c>
      <c r="S101" s="55" t="s">
        <v>35</v>
      </c>
      <c r="T101" s="55" t="s">
        <v>111</v>
      </c>
      <c r="U101" s="55" t="s">
        <v>20</v>
      </c>
      <c r="V101" s="55" t="s">
        <v>111</v>
      </c>
      <c r="W101" s="55">
        <v>6</v>
      </c>
      <c r="X101" s="55" t="s">
        <v>20</v>
      </c>
      <c r="Y101" s="55" t="s">
        <v>35</v>
      </c>
      <c r="Z101" s="47" t="s">
        <v>23</v>
      </c>
      <c r="AA101" s="55" t="s">
        <v>21</v>
      </c>
      <c r="AB101" s="55" t="s">
        <v>22</v>
      </c>
      <c r="AC101" s="55" t="s">
        <v>35</v>
      </c>
      <c r="AD101" s="55" t="s">
        <v>158</v>
      </c>
      <c r="AE101" s="55" t="s">
        <v>159</v>
      </c>
      <c r="AF101" s="55" t="s">
        <v>160</v>
      </c>
      <c r="AG101" s="55" t="s">
        <v>161</v>
      </c>
      <c r="AH101" s="55">
        <v>55055</v>
      </c>
      <c r="AI101" s="56" t="s">
        <v>106</v>
      </c>
      <c r="AJ101" s="56" t="s">
        <v>208</v>
      </c>
    </row>
    <row r="102" spans="1:36" s="55" customFormat="1">
      <c r="A102" s="55" t="str">
        <f t="shared" si="1"/>
        <v>createAndConfirmGuidedBookingPharma_PHARMA_Pharma4Temperaturecontrolledbetween15Cto25C_Domestic</v>
      </c>
      <c r="B102" s="55" t="s">
        <v>45</v>
      </c>
      <c r="C102" s="55" t="s">
        <v>176</v>
      </c>
      <c r="D102" s="46" t="s">
        <v>125</v>
      </c>
      <c r="E102" s="44" t="s">
        <v>124</v>
      </c>
      <c r="F102" s="55" t="b">
        <v>1</v>
      </c>
      <c r="G102" s="55" t="s">
        <v>35</v>
      </c>
      <c r="H102" s="55" t="s">
        <v>142</v>
      </c>
      <c r="I102" s="55" t="s">
        <v>143</v>
      </c>
      <c r="J102" s="55" t="s">
        <v>194</v>
      </c>
      <c r="K102" s="55" t="s">
        <v>298</v>
      </c>
      <c r="L102" s="55">
        <v>115</v>
      </c>
      <c r="M102" s="55" t="s">
        <v>197</v>
      </c>
      <c r="N102" s="55">
        <v>4</v>
      </c>
      <c r="O102" s="55">
        <v>18</v>
      </c>
      <c r="P102" s="55">
        <v>18</v>
      </c>
      <c r="Q102" s="55">
        <v>18</v>
      </c>
      <c r="R102" s="55" t="s">
        <v>255</v>
      </c>
      <c r="S102" s="55" t="s">
        <v>35</v>
      </c>
      <c r="T102" s="55" t="s">
        <v>20</v>
      </c>
      <c r="U102" s="55" t="s">
        <v>20</v>
      </c>
      <c r="V102" s="55" t="s">
        <v>111</v>
      </c>
      <c r="W102" s="55">
        <v>7</v>
      </c>
      <c r="X102" s="55" t="s">
        <v>20</v>
      </c>
      <c r="Y102" s="55" t="s">
        <v>35</v>
      </c>
      <c r="Z102" s="47" t="s">
        <v>23</v>
      </c>
      <c r="AA102" s="55" t="s">
        <v>21</v>
      </c>
      <c r="AB102" s="55" t="s">
        <v>22</v>
      </c>
      <c r="AC102" s="55" t="s">
        <v>35</v>
      </c>
      <c r="AD102" s="55" t="s">
        <v>158</v>
      </c>
      <c r="AE102" s="55" t="s">
        <v>159</v>
      </c>
      <c r="AF102" s="55" t="s">
        <v>160</v>
      </c>
      <c r="AG102" s="55" t="s">
        <v>161</v>
      </c>
      <c r="AH102" s="55">
        <v>55055</v>
      </c>
      <c r="AI102" s="56" t="s">
        <v>106</v>
      </c>
      <c r="AJ102" s="56" t="s">
        <v>208</v>
      </c>
    </row>
    <row r="103" spans="1:36" s="55" customFormat="1">
      <c r="A103" s="55" t="str">
        <f t="shared" si="1"/>
        <v>createAndConfirmGuidedBookingPharma_PHARMA_Pharma1ActiveContainer_International</v>
      </c>
      <c r="B103" s="55" t="s">
        <v>45</v>
      </c>
      <c r="C103" s="55" t="s">
        <v>176</v>
      </c>
      <c r="D103" s="46" t="s">
        <v>125</v>
      </c>
      <c r="E103" s="44" t="s">
        <v>124</v>
      </c>
      <c r="F103" s="55" t="b">
        <v>1</v>
      </c>
      <c r="G103" s="55" t="s">
        <v>35</v>
      </c>
      <c r="H103" s="55" t="s">
        <v>142</v>
      </c>
      <c r="I103" s="55" t="s">
        <v>254</v>
      </c>
      <c r="J103" s="55" t="s">
        <v>54</v>
      </c>
      <c r="K103" s="55" t="s">
        <v>298</v>
      </c>
      <c r="L103" s="55">
        <v>10</v>
      </c>
      <c r="M103" s="55" t="s">
        <v>145</v>
      </c>
      <c r="N103" s="55">
        <v>1</v>
      </c>
      <c r="O103" s="55" t="s">
        <v>35</v>
      </c>
      <c r="P103" s="55" t="s">
        <v>35</v>
      </c>
      <c r="Q103" s="55" t="s">
        <v>35</v>
      </c>
      <c r="R103" s="55" t="s">
        <v>35</v>
      </c>
      <c r="S103" s="55" t="s">
        <v>35</v>
      </c>
      <c r="T103" s="55" t="s">
        <v>20</v>
      </c>
      <c r="U103" s="55" t="s">
        <v>20</v>
      </c>
      <c r="V103" s="55" t="s">
        <v>20</v>
      </c>
      <c r="W103" s="55">
        <v>2</v>
      </c>
      <c r="X103" s="55" t="s">
        <v>20</v>
      </c>
      <c r="Y103" s="55" t="s">
        <v>35</v>
      </c>
      <c r="Z103" s="47" t="s">
        <v>23</v>
      </c>
      <c r="AA103" s="55" t="s">
        <v>21</v>
      </c>
      <c r="AB103" s="55" t="s">
        <v>22</v>
      </c>
      <c r="AC103" s="55" t="s">
        <v>35</v>
      </c>
      <c r="AD103" s="55" t="s">
        <v>158</v>
      </c>
      <c r="AE103" s="55" t="s">
        <v>159</v>
      </c>
      <c r="AF103" s="55" t="s">
        <v>160</v>
      </c>
      <c r="AG103" s="55" t="s">
        <v>161</v>
      </c>
      <c r="AH103" s="55">
        <v>55055</v>
      </c>
      <c r="AI103" s="56" t="s">
        <v>266</v>
      </c>
      <c r="AJ103" s="56" t="s">
        <v>212</v>
      </c>
    </row>
    <row r="104" spans="1:36" s="55" customFormat="1">
      <c r="A104" s="55" t="str">
        <f t="shared" si="1"/>
        <v>createAndConfirmGuidedBookingPharma_PHARMA_Pharma1PassiveContainer_International</v>
      </c>
      <c r="B104" s="55" t="s">
        <v>45</v>
      </c>
      <c r="C104" s="55" t="s">
        <v>176</v>
      </c>
      <c r="D104" s="46" t="s">
        <v>125</v>
      </c>
      <c r="E104" s="44" t="s">
        <v>124</v>
      </c>
      <c r="F104" s="55" t="b">
        <v>1</v>
      </c>
      <c r="G104" s="55" t="s">
        <v>35</v>
      </c>
      <c r="H104" s="55" t="s">
        <v>142</v>
      </c>
      <c r="I104" s="55" t="s">
        <v>254</v>
      </c>
      <c r="J104" s="55" t="s">
        <v>175</v>
      </c>
      <c r="K104" s="55" t="s">
        <v>298</v>
      </c>
      <c r="L104" s="55">
        <v>11</v>
      </c>
      <c r="M104" s="55" t="s">
        <v>197</v>
      </c>
      <c r="N104" s="55">
        <v>1</v>
      </c>
      <c r="O104" s="55" t="s">
        <v>35</v>
      </c>
      <c r="P104" s="55" t="s">
        <v>35</v>
      </c>
      <c r="Q104" s="55" t="s">
        <v>35</v>
      </c>
      <c r="R104" s="55" t="s">
        <v>35</v>
      </c>
      <c r="S104" s="55" t="s">
        <v>35</v>
      </c>
      <c r="T104" s="55" t="s">
        <v>20</v>
      </c>
      <c r="U104" s="55" t="s">
        <v>20</v>
      </c>
      <c r="V104" s="55" t="s">
        <v>20</v>
      </c>
      <c r="W104" s="55">
        <v>3</v>
      </c>
      <c r="X104" s="55" t="s">
        <v>20</v>
      </c>
      <c r="Y104" s="55" t="s">
        <v>35</v>
      </c>
      <c r="Z104" s="47" t="s">
        <v>23</v>
      </c>
      <c r="AA104" s="55" t="s">
        <v>21</v>
      </c>
      <c r="AB104" s="55" t="s">
        <v>22</v>
      </c>
      <c r="AC104" s="55" t="s">
        <v>35</v>
      </c>
      <c r="AD104" s="55" t="s">
        <v>158</v>
      </c>
      <c r="AE104" s="55" t="s">
        <v>159</v>
      </c>
      <c r="AF104" s="55" t="s">
        <v>160</v>
      </c>
      <c r="AG104" s="55" t="s">
        <v>161</v>
      </c>
      <c r="AH104" s="55">
        <v>55055</v>
      </c>
      <c r="AI104" s="56" t="s">
        <v>266</v>
      </c>
      <c r="AJ104" s="56" t="s">
        <v>212</v>
      </c>
    </row>
    <row r="105" spans="1:36" s="55" customFormat="1">
      <c r="A105" s="55" t="str">
        <f t="shared" si="1"/>
        <v>createAndConfirmGuidedBookingPharma_PHARMA_Pharma2Temperaturecontrolledbetween2Cto8C_International</v>
      </c>
      <c r="B105" s="55" t="s">
        <v>45</v>
      </c>
      <c r="C105" s="55" t="s">
        <v>176</v>
      </c>
      <c r="D105" s="46" t="s">
        <v>125</v>
      </c>
      <c r="E105" s="44" t="s">
        <v>124</v>
      </c>
      <c r="F105" s="55" t="b">
        <v>1</v>
      </c>
      <c r="G105" s="55" t="s">
        <v>35</v>
      </c>
      <c r="H105" s="55" t="s">
        <v>142</v>
      </c>
      <c r="I105" s="55" t="s">
        <v>254</v>
      </c>
      <c r="J105" s="55" t="s">
        <v>63</v>
      </c>
      <c r="K105" s="55" t="s">
        <v>298</v>
      </c>
      <c r="L105" s="55">
        <v>12</v>
      </c>
      <c r="M105" s="55" t="s">
        <v>145</v>
      </c>
      <c r="N105" s="55">
        <v>1</v>
      </c>
      <c r="O105" s="55">
        <v>10</v>
      </c>
      <c r="P105" s="55">
        <v>10</v>
      </c>
      <c r="Q105" s="55">
        <v>10</v>
      </c>
      <c r="R105" s="55" t="s">
        <v>152</v>
      </c>
      <c r="S105" s="55" t="s">
        <v>35</v>
      </c>
      <c r="T105" s="55" t="s">
        <v>20</v>
      </c>
      <c r="U105" s="55" t="s">
        <v>20</v>
      </c>
      <c r="V105" s="55" t="s">
        <v>20</v>
      </c>
      <c r="W105" s="55">
        <v>4</v>
      </c>
      <c r="X105" s="55" t="s">
        <v>20</v>
      </c>
      <c r="Y105" s="55" t="s">
        <v>35</v>
      </c>
      <c r="Z105" s="47" t="s">
        <v>23</v>
      </c>
      <c r="AA105" s="55" t="s">
        <v>21</v>
      </c>
      <c r="AB105" s="55" t="s">
        <v>22</v>
      </c>
      <c r="AC105" s="55" t="s">
        <v>35</v>
      </c>
      <c r="AD105" s="55" t="s">
        <v>158</v>
      </c>
      <c r="AE105" s="55" t="s">
        <v>159</v>
      </c>
      <c r="AF105" s="55" t="s">
        <v>160</v>
      </c>
      <c r="AG105" s="55" t="s">
        <v>161</v>
      </c>
      <c r="AH105" s="55">
        <v>55055</v>
      </c>
      <c r="AI105" s="56" t="s">
        <v>266</v>
      </c>
      <c r="AJ105" s="56" t="s">
        <v>212</v>
      </c>
    </row>
    <row r="106" spans="1:36" s="55" customFormat="1">
      <c r="A106" s="55" t="str">
        <f t="shared" si="1"/>
        <v>createAndConfirmGuidedBookingPharma_PHARMA_Pharma3Temperaturecontrolledbetween2Cto25C_International</v>
      </c>
      <c r="B106" s="55" t="s">
        <v>45</v>
      </c>
      <c r="C106" s="55" t="s">
        <v>176</v>
      </c>
      <c r="D106" s="46" t="s">
        <v>125</v>
      </c>
      <c r="E106" s="44" t="s">
        <v>124</v>
      </c>
      <c r="F106" s="55" t="b">
        <v>1</v>
      </c>
      <c r="G106" s="55" t="s">
        <v>35</v>
      </c>
      <c r="H106" s="55" t="s">
        <v>142</v>
      </c>
      <c r="I106" s="55" t="s">
        <v>254</v>
      </c>
      <c r="J106" s="55" t="s">
        <v>193</v>
      </c>
      <c r="K106" s="55" t="s">
        <v>298</v>
      </c>
      <c r="L106" s="55">
        <v>13</v>
      </c>
      <c r="M106" s="55" t="s">
        <v>197</v>
      </c>
      <c r="N106" s="55">
        <v>1</v>
      </c>
      <c r="O106" s="55">
        <v>10</v>
      </c>
      <c r="P106" s="55">
        <v>10</v>
      </c>
      <c r="Q106" s="55">
        <v>10</v>
      </c>
      <c r="R106" s="55" t="s">
        <v>255</v>
      </c>
      <c r="S106" s="55" t="s">
        <v>35</v>
      </c>
      <c r="T106" s="55" t="s">
        <v>20</v>
      </c>
      <c r="U106" s="55" t="s">
        <v>20</v>
      </c>
      <c r="V106" s="55" t="s">
        <v>20</v>
      </c>
      <c r="W106" s="55">
        <v>5</v>
      </c>
      <c r="X106" s="55" t="s">
        <v>20</v>
      </c>
      <c r="Y106" s="55" t="s">
        <v>35</v>
      </c>
      <c r="Z106" s="47" t="s">
        <v>23</v>
      </c>
      <c r="AA106" s="55" t="s">
        <v>21</v>
      </c>
      <c r="AB106" s="55" t="s">
        <v>22</v>
      </c>
      <c r="AC106" s="55" t="s">
        <v>35</v>
      </c>
      <c r="AD106" s="55" t="s">
        <v>158</v>
      </c>
      <c r="AE106" s="55" t="s">
        <v>159</v>
      </c>
      <c r="AF106" s="55" t="s">
        <v>160</v>
      </c>
      <c r="AG106" s="55" t="s">
        <v>161</v>
      </c>
      <c r="AH106" s="55">
        <v>55055</v>
      </c>
      <c r="AI106" s="56" t="s">
        <v>266</v>
      </c>
      <c r="AJ106" s="56" t="s">
        <v>212</v>
      </c>
    </row>
    <row r="107" spans="1:36" s="55" customFormat="1">
      <c r="A107" s="55" t="str">
        <f t="shared" si="1"/>
        <v>createAndConfirmGuidedBookingPharma_PHARMA_Pharma4Temperaturecontrolledbetween15Cto25C_International</v>
      </c>
      <c r="B107" s="55" t="s">
        <v>45</v>
      </c>
      <c r="C107" s="55" t="s">
        <v>176</v>
      </c>
      <c r="D107" s="46" t="s">
        <v>125</v>
      </c>
      <c r="E107" s="44" t="s">
        <v>124</v>
      </c>
      <c r="F107" s="55" t="b">
        <v>1</v>
      </c>
      <c r="G107" s="55" t="s">
        <v>35</v>
      </c>
      <c r="H107" s="55" t="s">
        <v>142</v>
      </c>
      <c r="I107" s="55" t="s">
        <v>254</v>
      </c>
      <c r="J107" s="55" t="s">
        <v>194</v>
      </c>
      <c r="K107" s="55" t="s">
        <v>298</v>
      </c>
      <c r="L107" s="55">
        <v>14</v>
      </c>
      <c r="M107" s="55" t="s">
        <v>145</v>
      </c>
      <c r="N107" s="55">
        <v>1</v>
      </c>
      <c r="O107" s="55">
        <v>10</v>
      </c>
      <c r="P107" s="55">
        <v>10</v>
      </c>
      <c r="Q107" s="55">
        <v>10</v>
      </c>
      <c r="R107" s="55" t="s">
        <v>152</v>
      </c>
      <c r="S107" s="55" t="s">
        <v>35</v>
      </c>
      <c r="T107" s="55" t="s">
        <v>20</v>
      </c>
      <c r="U107" s="55" t="s">
        <v>20</v>
      </c>
      <c r="V107" s="55" t="s">
        <v>20</v>
      </c>
      <c r="W107" s="55">
        <v>6</v>
      </c>
      <c r="X107" s="55" t="s">
        <v>20</v>
      </c>
      <c r="Y107" s="55" t="s">
        <v>35</v>
      </c>
      <c r="Z107" s="47" t="s">
        <v>23</v>
      </c>
      <c r="AA107" s="55" t="s">
        <v>21</v>
      </c>
      <c r="AB107" s="55" t="s">
        <v>22</v>
      </c>
      <c r="AC107" s="55" t="s">
        <v>35</v>
      </c>
      <c r="AD107" s="55" t="s">
        <v>158</v>
      </c>
      <c r="AE107" s="55" t="s">
        <v>159</v>
      </c>
      <c r="AF107" s="55" t="s">
        <v>160</v>
      </c>
      <c r="AG107" s="55" t="s">
        <v>161</v>
      </c>
      <c r="AH107" s="55">
        <v>55055</v>
      </c>
      <c r="AI107" s="56" t="s">
        <v>106</v>
      </c>
      <c r="AJ107" s="56" t="s">
        <v>212</v>
      </c>
    </row>
    <row r="108" spans="1:36" s="57" customFormat="1">
      <c r="A108" s="57" t="str">
        <f t="shared" si="1"/>
        <v>createAndConfirmGuidedBookingMedical_DMD_MedicalshipmentMedevac_Domestic</v>
      </c>
      <c r="B108" s="57" t="s">
        <v>44</v>
      </c>
      <c r="C108" s="57" t="s">
        <v>163</v>
      </c>
      <c r="D108" s="46" t="s">
        <v>125</v>
      </c>
      <c r="E108" s="44" t="s">
        <v>124</v>
      </c>
      <c r="F108" s="57" t="b">
        <v>1</v>
      </c>
      <c r="G108" s="57" t="s">
        <v>35</v>
      </c>
      <c r="H108" s="57" t="s">
        <v>142</v>
      </c>
      <c r="I108" s="57" t="s">
        <v>165</v>
      </c>
      <c r="J108" s="57" t="s">
        <v>177</v>
      </c>
      <c r="K108" s="57" t="s">
        <v>305</v>
      </c>
      <c r="L108" s="57">
        <v>30</v>
      </c>
      <c r="M108" s="57" t="s">
        <v>197</v>
      </c>
      <c r="N108" s="57">
        <v>1</v>
      </c>
      <c r="O108" s="57">
        <v>10</v>
      </c>
      <c r="P108" s="57">
        <v>10</v>
      </c>
      <c r="Q108" s="57">
        <v>10</v>
      </c>
      <c r="R108" s="57" t="s">
        <v>255</v>
      </c>
      <c r="S108" s="57" t="s">
        <v>19</v>
      </c>
      <c r="T108" s="57" t="s">
        <v>20</v>
      </c>
      <c r="U108" s="57" t="s">
        <v>20</v>
      </c>
      <c r="V108" s="57" t="s">
        <v>20</v>
      </c>
      <c r="W108" s="57">
        <v>6</v>
      </c>
      <c r="X108" s="57" t="s">
        <v>20</v>
      </c>
      <c r="Y108" s="57" t="s">
        <v>35</v>
      </c>
      <c r="Z108" s="47" t="s">
        <v>23</v>
      </c>
      <c r="AA108" s="57" t="s">
        <v>21</v>
      </c>
      <c r="AB108" s="57" t="s">
        <v>22</v>
      </c>
      <c r="AC108" s="57" t="s">
        <v>35</v>
      </c>
      <c r="AD108" s="57" t="s">
        <v>158</v>
      </c>
      <c r="AE108" s="57" t="s">
        <v>159</v>
      </c>
      <c r="AF108" s="57" t="s">
        <v>160</v>
      </c>
      <c r="AG108" s="57" t="s">
        <v>161</v>
      </c>
      <c r="AH108" s="57">
        <v>55055</v>
      </c>
      <c r="AI108" s="58" t="s">
        <v>106</v>
      </c>
      <c r="AJ108" s="58" t="s">
        <v>208</v>
      </c>
    </row>
    <row r="109" spans="1:36" s="57" customFormat="1">
      <c r="A109" s="57" t="str">
        <f t="shared" si="1"/>
        <v>createAndConfirmGuidedBookingMedical_DMD_MedicalshipmentfortransplantLiveHumanOrgan_Domestic</v>
      </c>
      <c r="B109" s="57" t="s">
        <v>44</v>
      </c>
      <c r="C109" s="57" t="s">
        <v>163</v>
      </c>
      <c r="D109" s="46" t="s">
        <v>125</v>
      </c>
      <c r="E109" s="44" t="s">
        <v>124</v>
      </c>
      <c r="F109" s="57" t="b">
        <v>1</v>
      </c>
      <c r="G109" s="57" t="s">
        <v>35</v>
      </c>
      <c r="H109" s="57" t="s">
        <v>251</v>
      </c>
      <c r="I109" s="57" t="s">
        <v>143</v>
      </c>
      <c r="J109" s="57" t="s">
        <v>178</v>
      </c>
      <c r="K109" s="57" t="s">
        <v>305</v>
      </c>
      <c r="L109" s="57">
        <v>50</v>
      </c>
      <c r="M109" s="57" t="s">
        <v>145</v>
      </c>
      <c r="N109" s="57">
        <v>1</v>
      </c>
      <c r="O109" s="57">
        <v>10</v>
      </c>
      <c r="P109" s="57">
        <v>10</v>
      </c>
      <c r="Q109" s="57">
        <v>10</v>
      </c>
      <c r="R109" s="57" t="s">
        <v>152</v>
      </c>
      <c r="S109" s="57" t="s">
        <v>262</v>
      </c>
      <c r="T109" s="57" t="s">
        <v>20</v>
      </c>
      <c r="U109" s="57" t="s">
        <v>20</v>
      </c>
      <c r="V109" s="57" t="s">
        <v>20</v>
      </c>
      <c r="W109" s="57">
        <v>6</v>
      </c>
      <c r="X109" s="57" t="s">
        <v>20</v>
      </c>
      <c r="Y109" s="57" t="s">
        <v>35</v>
      </c>
      <c r="Z109" s="47" t="s">
        <v>23</v>
      </c>
      <c r="AA109" s="57" t="s">
        <v>21</v>
      </c>
      <c r="AB109" s="57" t="s">
        <v>22</v>
      </c>
      <c r="AC109" s="57" t="s">
        <v>35</v>
      </c>
      <c r="AD109" s="57" t="s">
        <v>158</v>
      </c>
      <c r="AE109" s="57" t="s">
        <v>159</v>
      </c>
      <c r="AF109" s="57" t="s">
        <v>160</v>
      </c>
      <c r="AG109" s="57" t="s">
        <v>161</v>
      </c>
      <c r="AH109" s="57">
        <v>55055</v>
      </c>
      <c r="AI109" s="58" t="s">
        <v>106</v>
      </c>
      <c r="AJ109" s="58" t="s">
        <v>208</v>
      </c>
    </row>
    <row r="110" spans="1:36" s="57" customFormat="1">
      <c r="A110" s="57" t="str">
        <f t="shared" si="1"/>
        <v>createAndConfirmGuidedBookingMedical_DMD_Lifesavingdrugsandmedicationorcordblood_Domestic</v>
      </c>
      <c r="B110" s="57" t="s">
        <v>44</v>
      </c>
      <c r="C110" s="57" t="s">
        <v>163</v>
      </c>
      <c r="D110" s="46" t="s">
        <v>125</v>
      </c>
      <c r="E110" s="44" t="s">
        <v>124</v>
      </c>
      <c r="F110" s="57" t="b">
        <v>1</v>
      </c>
      <c r="G110" s="57" t="s">
        <v>35</v>
      </c>
      <c r="H110" s="57" t="s">
        <v>165</v>
      </c>
      <c r="I110" s="57" t="s">
        <v>251</v>
      </c>
      <c r="J110" s="57" t="s">
        <v>179</v>
      </c>
      <c r="K110" s="57" t="s">
        <v>305</v>
      </c>
      <c r="L110" s="57">
        <v>60</v>
      </c>
      <c r="M110" s="57" t="s">
        <v>197</v>
      </c>
      <c r="N110" s="57">
        <v>1</v>
      </c>
      <c r="O110" s="57">
        <v>10</v>
      </c>
      <c r="P110" s="57">
        <v>10</v>
      </c>
      <c r="Q110" s="57">
        <v>10</v>
      </c>
      <c r="R110" s="57" t="s">
        <v>255</v>
      </c>
      <c r="S110" s="57" t="s">
        <v>19</v>
      </c>
      <c r="T110" s="57" t="s">
        <v>20</v>
      </c>
      <c r="U110" s="57" t="s">
        <v>20</v>
      </c>
      <c r="V110" s="57" t="s">
        <v>20</v>
      </c>
      <c r="W110" s="57">
        <v>6</v>
      </c>
      <c r="X110" s="57" t="s">
        <v>20</v>
      </c>
      <c r="Y110" s="57" t="s">
        <v>35</v>
      </c>
      <c r="Z110" s="47" t="s">
        <v>23</v>
      </c>
      <c r="AA110" s="57" t="s">
        <v>21</v>
      </c>
      <c r="AB110" s="57" t="s">
        <v>22</v>
      </c>
      <c r="AC110" s="57" t="s">
        <v>35</v>
      </c>
      <c r="AD110" s="57" t="s">
        <v>158</v>
      </c>
      <c r="AE110" s="57" t="s">
        <v>159</v>
      </c>
      <c r="AF110" s="57" t="s">
        <v>160</v>
      </c>
      <c r="AG110" s="57" t="s">
        <v>161</v>
      </c>
      <c r="AH110" s="57">
        <v>55055</v>
      </c>
      <c r="AI110" s="58" t="s">
        <v>106</v>
      </c>
      <c r="AJ110" s="58" t="s">
        <v>208</v>
      </c>
    </row>
    <row r="111" spans="1:36" s="57" customFormat="1">
      <c r="A111" s="57" t="str">
        <f t="shared" si="1"/>
        <v>createAndConfirmGuidedBookingMedical_DMD_MedicalshipmentfortransplantOther_Domestic</v>
      </c>
      <c r="B111" s="57" t="s">
        <v>44</v>
      </c>
      <c r="C111" s="57" t="s">
        <v>163</v>
      </c>
      <c r="D111" s="46" t="s">
        <v>125</v>
      </c>
      <c r="E111" s="44" t="s">
        <v>124</v>
      </c>
      <c r="F111" s="57" t="b">
        <v>1</v>
      </c>
      <c r="G111" s="57" t="s">
        <v>35</v>
      </c>
      <c r="H111" s="57" t="s">
        <v>251</v>
      </c>
      <c r="I111" s="57" t="s">
        <v>165</v>
      </c>
      <c r="J111" s="57" t="s">
        <v>180</v>
      </c>
      <c r="K111" s="57" t="s">
        <v>305</v>
      </c>
      <c r="L111" s="57">
        <v>40</v>
      </c>
      <c r="M111" s="57" t="s">
        <v>145</v>
      </c>
      <c r="N111" s="57">
        <v>1</v>
      </c>
      <c r="O111" s="57">
        <v>10</v>
      </c>
      <c r="P111" s="57">
        <v>10</v>
      </c>
      <c r="Q111" s="57">
        <v>10</v>
      </c>
      <c r="R111" s="57" t="s">
        <v>152</v>
      </c>
      <c r="S111" s="57" t="s">
        <v>262</v>
      </c>
      <c r="T111" s="57" t="s">
        <v>20</v>
      </c>
      <c r="U111" s="57" t="s">
        <v>20</v>
      </c>
      <c r="V111" s="57" t="s">
        <v>20</v>
      </c>
      <c r="W111" s="57">
        <v>6</v>
      </c>
      <c r="X111" s="57" t="s">
        <v>20</v>
      </c>
      <c r="Y111" s="57" t="s">
        <v>35</v>
      </c>
      <c r="Z111" s="47" t="s">
        <v>23</v>
      </c>
      <c r="AA111" s="57" t="s">
        <v>21</v>
      </c>
      <c r="AB111" s="57" t="s">
        <v>22</v>
      </c>
      <c r="AC111" s="57" t="s">
        <v>35</v>
      </c>
      <c r="AD111" s="57" t="s">
        <v>158</v>
      </c>
      <c r="AE111" s="57" t="s">
        <v>159</v>
      </c>
      <c r="AF111" s="57" t="s">
        <v>160</v>
      </c>
      <c r="AG111" s="57" t="s">
        <v>161</v>
      </c>
      <c r="AH111" s="57">
        <v>55055</v>
      </c>
      <c r="AI111" s="58" t="s">
        <v>106</v>
      </c>
      <c r="AJ111" s="58" t="s">
        <v>208</v>
      </c>
    </row>
    <row r="112" spans="1:36" s="57" customFormat="1">
      <c r="A112" s="57" t="str">
        <f t="shared" si="1"/>
        <v>createAndConfirmGuidedBookingMedical_DSH_MedicalshipmentnotfortransplantDiagnosticSpecimen_Domestic</v>
      </c>
      <c r="B112" s="57" t="s">
        <v>44</v>
      </c>
      <c r="C112" s="57" t="s">
        <v>113</v>
      </c>
      <c r="D112" s="46" t="s">
        <v>125</v>
      </c>
      <c r="E112" s="44" t="s">
        <v>124</v>
      </c>
      <c r="F112" s="57" t="b">
        <v>1</v>
      </c>
      <c r="G112" s="57" t="s">
        <v>35</v>
      </c>
      <c r="H112" s="57" t="s">
        <v>142</v>
      </c>
      <c r="I112" s="57" t="s">
        <v>143</v>
      </c>
      <c r="J112" s="57" t="s">
        <v>181</v>
      </c>
      <c r="K112" s="57" t="s">
        <v>305</v>
      </c>
      <c r="L112" s="57">
        <v>50</v>
      </c>
      <c r="M112" s="57" t="s">
        <v>197</v>
      </c>
      <c r="N112" s="57">
        <v>1</v>
      </c>
      <c r="O112" s="57">
        <v>10</v>
      </c>
      <c r="P112" s="57">
        <v>10</v>
      </c>
      <c r="Q112" s="57">
        <v>10</v>
      </c>
      <c r="R112" s="57" t="s">
        <v>255</v>
      </c>
      <c r="S112" s="57" t="s">
        <v>19</v>
      </c>
      <c r="T112" s="57" t="s">
        <v>20</v>
      </c>
      <c r="U112" s="57" t="s">
        <v>20</v>
      </c>
      <c r="V112" s="57" t="s">
        <v>20</v>
      </c>
      <c r="W112" s="57">
        <v>6</v>
      </c>
      <c r="X112" s="57" t="s">
        <v>20</v>
      </c>
      <c r="Y112" s="57" t="s">
        <v>35</v>
      </c>
      <c r="Z112" s="47" t="s">
        <v>23</v>
      </c>
      <c r="AA112" s="57" t="s">
        <v>21</v>
      </c>
      <c r="AB112" s="57" t="s">
        <v>22</v>
      </c>
      <c r="AC112" s="57" t="s">
        <v>35</v>
      </c>
      <c r="AD112" s="57" t="s">
        <v>158</v>
      </c>
      <c r="AE112" s="57" t="s">
        <v>159</v>
      </c>
      <c r="AF112" s="57" t="s">
        <v>160</v>
      </c>
      <c r="AG112" s="57" t="s">
        <v>161</v>
      </c>
      <c r="AH112" s="57">
        <v>55055</v>
      </c>
      <c r="AI112" s="58" t="s">
        <v>106</v>
      </c>
      <c r="AJ112" s="58" t="s">
        <v>208</v>
      </c>
    </row>
    <row r="113" spans="1:36" s="72" customFormat="1">
      <c r="A113" s="72" t="str">
        <f t="shared" si="1"/>
        <v>createAndConfirmGuidedBookingMedical_DHV_MedicalshipmentnotfortransplantOther_International</v>
      </c>
      <c r="B113" s="72" t="s">
        <v>44</v>
      </c>
      <c r="C113" s="72" t="s">
        <v>166</v>
      </c>
      <c r="D113" s="46" t="s">
        <v>125</v>
      </c>
      <c r="E113" s="44" t="s">
        <v>124</v>
      </c>
      <c r="F113" s="72" t="b">
        <v>1</v>
      </c>
      <c r="G113" s="72" t="s">
        <v>35</v>
      </c>
      <c r="H113" s="72" t="s">
        <v>142</v>
      </c>
      <c r="I113" s="72" t="s">
        <v>323</v>
      </c>
      <c r="J113" s="72" t="s">
        <v>182</v>
      </c>
      <c r="K113" s="72" t="s">
        <v>305</v>
      </c>
      <c r="L113" s="72">
        <v>60</v>
      </c>
      <c r="M113" s="72" t="s">
        <v>145</v>
      </c>
      <c r="N113" s="72">
        <v>1</v>
      </c>
      <c r="O113" s="72">
        <v>10</v>
      </c>
      <c r="P113" s="72">
        <v>10</v>
      </c>
      <c r="Q113" s="72">
        <v>10</v>
      </c>
      <c r="R113" s="72" t="s">
        <v>152</v>
      </c>
      <c r="S113" s="72" t="s">
        <v>262</v>
      </c>
      <c r="T113" s="72" t="s">
        <v>20</v>
      </c>
      <c r="U113" s="72" t="s">
        <v>20</v>
      </c>
      <c r="V113" s="72" t="s">
        <v>20</v>
      </c>
      <c r="W113" s="72">
        <v>6</v>
      </c>
      <c r="X113" s="72" t="s">
        <v>20</v>
      </c>
      <c r="Y113" s="72" t="s">
        <v>35</v>
      </c>
      <c r="Z113" s="73" t="s">
        <v>23</v>
      </c>
      <c r="AA113" s="72" t="s">
        <v>21</v>
      </c>
      <c r="AB113" s="72" t="s">
        <v>22</v>
      </c>
      <c r="AC113" s="72" t="s">
        <v>35</v>
      </c>
      <c r="AD113" s="72" t="s">
        <v>158</v>
      </c>
      <c r="AE113" s="72" t="s">
        <v>159</v>
      </c>
      <c r="AF113" s="72" t="s">
        <v>160</v>
      </c>
      <c r="AG113" s="72" t="s">
        <v>161</v>
      </c>
      <c r="AH113" s="72">
        <v>55055</v>
      </c>
      <c r="AI113" s="73" t="s">
        <v>266</v>
      </c>
      <c r="AJ113" s="73" t="s">
        <v>212</v>
      </c>
    </row>
    <row r="114" spans="1:36" s="72" customFormat="1">
      <c r="A114" s="72" t="str">
        <f t="shared" si="1"/>
        <v>createAndConfirmGuidedBookingMedical_CRITICAL_MedicalshipmentMedevac_International</v>
      </c>
      <c r="B114" s="72" t="s">
        <v>44</v>
      </c>
      <c r="C114" s="72" t="s">
        <v>236</v>
      </c>
      <c r="D114" s="46" t="s">
        <v>125</v>
      </c>
      <c r="E114" s="44" t="s">
        <v>124</v>
      </c>
      <c r="F114" s="72" t="b">
        <v>1</v>
      </c>
      <c r="G114" s="72" t="s">
        <v>35</v>
      </c>
      <c r="H114" s="72" t="s">
        <v>142</v>
      </c>
      <c r="I114" s="72" t="s">
        <v>254</v>
      </c>
      <c r="J114" s="72" t="s">
        <v>177</v>
      </c>
      <c r="K114" s="72" t="s">
        <v>305</v>
      </c>
      <c r="L114" s="72">
        <v>55</v>
      </c>
      <c r="M114" s="72" t="s">
        <v>197</v>
      </c>
      <c r="N114" s="72">
        <v>1</v>
      </c>
      <c r="O114" s="72">
        <v>10</v>
      </c>
      <c r="P114" s="72">
        <v>10</v>
      </c>
      <c r="Q114" s="72">
        <v>10</v>
      </c>
      <c r="R114" s="72" t="s">
        <v>255</v>
      </c>
      <c r="S114" s="72" t="s">
        <v>19</v>
      </c>
      <c r="T114" s="72" t="s">
        <v>20</v>
      </c>
      <c r="U114" s="72" t="s">
        <v>20</v>
      </c>
      <c r="V114" s="72" t="s">
        <v>20</v>
      </c>
      <c r="W114" s="72">
        <v>6</v>
      </c>
      <c r="X114" s="72" t="s">
        <v>20</v>
      </c>
      <c r="Y114" s="72" t="s">
        <v>35</v>
      </c>
      <c r="Z114" s="73" t="s">
        <v>23</v>
      </c>
      <c r="AA114" s="72" t="s">
        <v>21</v>
      </c>
      <c r="AB114" s="72" t="s">
        <v>22</v>
      </c>
      <c r="AC114" s="72" t="s">
        <v>35</v>
      </c>
      <c r="AD114" s="72" t="s">
        <v>158</v>
      </c>
      <c r="AE114" s="72" t="s">
        <v>159</v>
      </c>
      <c r="AF114" s="72" t="s">
        <v>160</v>
      </c>
      <c r="AG114" s="72" t="s">
        <v>161</v>
      </c>
      <c r="AH114" s="72">
        <v>55055</v>
      </c>
      <c r="AI114" s="73" t="s">
        <v>266</v>
      </c>
      <c r="AJ114" s="73" t="s">
        <v>212</v>
      </c>
    </row>
    <row r="115" spans="1:36" s="72" customFormat="1">
      <c r="A115" s="72" t="str">
        <f t="shared" si="1"/>
        <v>createAndConfirmGuidedBookingMedical_CRITICAL_HEAVY_MedicalshipmentfortransplantLiveHumanOrgan_International</v>
      </c>
      <c r="B115" s="72" t="s">
        <v>44</v>
      </c>
      <c r="C115" s="72" t="s">
        <v>250</v>
      </c>
      <c r="D115" s="46" t="s">
        <v>125</v>
      </c>
      <c r="E115" s="44" t="s">
        <v>124</v>
      </c>
      <c r="F115" s="72" t="b">
        <v>1</v>
      </c>
      <c r="G115" s="72" t="s">
        <v>35</v>
      </c>
      <c r="H115" s="72" t="s">
        <v>142</v>
      </c>
      <c r="I115" s="72" t="s">
        <v>323</v>
      </c>
      <c r="J115" s="72" t="s">
        <v>178</v>
      </c>
      <c r="K115" s="72" t="s">
        <v>305</v>
      </c>
      <c r="L115" s="72">
        <v>65</v>
      </c>
      <c r="M115" s="72" t="s">
        <v>145</v>
      </c>
      <c r="N115" s="72">
        <v>1</v>
      </c>
      <c r="O115" s="72">
        <v>10</v>
      </c>
      <c r="P115" s="72">
        <v>10</v>
      </c>
      <c r="Q115" s="72">
        <v>10</v>
      </c>
      <c r="R115" s="72" t="s">
        <v>152</v>
      </c>
      <c r="S115" s="72" t="s">
        <v>262</v>
      </c>
      <c r="T115" s="72" t="s">
        <v>20</v>
      </c>
      <c r="U115" s="72" t="s">
        <v>20</v>
      </c>
      <c r="V115" s="72" t="s">
        <v>20</v>
      </c>
      <c r="W115" s="72">
        <v>6</v>
      </c>
      <c r="X115" s="72" t="s">
        <v>20</v>
      </c>
      <c r="Y115" s="72" t="s">
        <v>35</v>
      </c>
      <c r="Z115" s="73" t="s">
        <v>23</v>
      </c>
      <c r="AA115" s="72" t="s">
        <v>21</v>
      </c>
      <c r="AB115" s="72" t="s">
        <v>22</v>
      </c>
      <c r="AC115" s="72" t="s">
        <v>35</v>
      </c>
      <c r="AD115" s="72" t="s">
        <v>158</v>
      </c>
      <c r="AE115" s="72" t="s">
        <v>159</v>
      </c>
      <c r="AF115" s="72" t="s">
        <v>160</v>
      </c>
      <c r="AG115" s="72" t="s">
        <v>161</v>
      </c>
      <c r="AH115" s="72">
        <v>55055</v>
      </c>
      <c r="AI115" s="73" t="s">
        <v>266</v>
      </c>
      <c r="AJ115" s="73" t="s">
        <v>212</v>
      </c>
    </row>
    <row r="116" spans="1:36" s="72" customFormat="1">
      <c r="A116" s="72" t="str">
        <f t="shared" si="1"/>
        <v>createAndConfirmGuidedBookingMedical_CRITICAL_HEAVY_Lifesavingdrugsandmedicationorcordblood_International</v>
      </c>
      <c r="B116" s="72" t="s">
        <v>44</v>
      </c>
      <c r="C116" s="72" t="s">
        <v>250</v>
      </c>
      <c r="D116" s="46" t="s">
        <v>125</v>
      </c>
      <c r="E116" s="44" t="s">
        <v>124</v>
      </c>
      <c r="F116" s="72" t="b">
        <v>1</v>
      </c>
      <c r="G116" s="72" t="s">
        <v>35</v>
      </c>
      <c r="H116" s="72" t="s">
        <v>142</v>
      </c>
      <c r="I116" s="72" t="s">
        <v>254</v>
      </c>
      <c r="J116" s="72" t="s">
        <v>179</v>
      </c>
      <c r="K116" s="72" t="s">
        <v>305</v>
      </c>
      <c r="L116" s="72">
        <v>75</v>
      </c>
      <c r="M116" s="72" t="s">
        <v>197</v>
      </c>
      <c r="N116" s="72">
        <v>1</v>
      </c>
      <c r="O116" s="72">
        <v>10</v>
      </c>
      <c r="P116" s="72">
        <v>10</v>
      </c>
      <c r="Q116" s="72">
        <v>10</v>
      </c>
      <c r="R116" s="72" t="s">
        <v>255</v>
      </c>
      <c r="S116" s="72" t="s">
        <v>19</v>
      </c>
      <c r="T116" s="72" t="s">
        <v>20</v>
      </c>
      <c r="U116" s="72" t="s">
        <v>20</v>
      </c>
      <c r="V116" s="72" t="s">
        <v>20</v>
      </c>
      <c r="W116" s="72">
        <v>6</v>
      </c>
      <c r="X116" s="72" t="s">
        <v>20</v>
      </c>
      <c r="Y116" s="72" t="s">
        <v>35</v>
      </c>
      <c r="Z116" s="73" t="s">
        <v>23</v>
      </c>
      <c r="AA116" s="72" t="s">
        <v>21</v>
      </c>
      <c r="AB116" s="72" t="s">
        <v>22</v>
      </c>
      <c r="AC116" s="72" t="s">
        <v>35</v>
      </c>
      <c r="AD116" s="72" t="s">
        <v>158</v>
      </c>
      <c r="AE116" s="72" t="s">
        <v>159</v>
      </c>
      <c r="AF116" s="72" t="s">
        <v>160</v>
      </c>
      <c r="AG116" s="72" t="s">
        <v>161</v>
      </c>
      <c r="AH116" s="72">
        <v>55055</v>
      </c>
      <c r="AI116" s="73" t="s">
        <v>266</v>
      </c>
      <c r="AJ116" s="73" t="s">
        <v>212</v>
      </c>
    </row>
    <row r="117" spans="1:36" s="72" customFormat="1">
      <c r="A117" s="72" t="str">
        <f t="shared" si="1"/>
        <v>createAndConfirmGuidedBookingMedical_CRITICAL_MedicalshipmentfortransplantOther_International</v>
      </c>
      <c r="B117" s="72" t="s">
        <v>44</v>
      </c>
      <c r="C117" s="72" t="s">
        <v>236</v>
      </c>
      <c r="D117" s="46" t="s">
        <v>125</v>
      </c>
      <c r="E117" s="44" t="s">
        <v>124</v>
      </c>
      <c r="F117" s="72" t="b">
        <v>1</v>
      </c>
      <c r="G117" s="72" t="s">
        <v>35</v>
      </c>
      <c r="H117" s="72" t="s">
        <v>142</v>
      </c>
      <c r="I117" s="72" t="s">
        <v>323</v>
      </c>
      <c r="J117" s="72" t="s">
        <v>180</v>
      </c>
      <c r="K117" s="72" t="s">
        <v>305</v>
      </c>
      <c r="L117" s="72">
        <v>85</v>
      </c>
      <c r="M117" s="72" t="s">
        <v>145</v>
      </c>
      <c r="N117" s="72">
        <v>1</v>
      </c>
      <c r="O117" s="72">
        <v>10</v>
      </c>
      <c r="P117" s="72">
        <v>10</v>
      </c>
      <c r="Q117" s="72">
        <v>10</v>
      </c>
      <c r="R117" s="72" t="s">
        <v>152</v>
      </c>
      <c r="S117" s="72" t="s">
        <v>262</v>
      </c>
      <c r="T117" s="72" t="s">
        <v>20</v>
      </c>
      <c r="U117" s="72" t="s">
        <v>20</v>
      </c>
      <c r="V117" s="72" t="s">
        <v>20</v>
      </c>
      <c r="W117" s="72">
        <v>6</v>
      </c>
      <c r="X117" s="72" t="s">
        <v>20</v>
      </c>
      <c r="Y117" s="72" t="s">
        <v>35</v>
      </c>
      <c r="Z117" s="73" t="s">
        <v>23</v>
      </c>
      <c r="AA117" s="72" t="s">
        <v>21</v>
      </c>
      <c r="AB117" s="72" t="s">
        <v>22</v>
      </c>
      <c r="AC117" s="72" t="s">
        <v>35</v>
      </c>
      <c r="AD117" s="72" t="s">
        <v>158</v>
      </c>
      <c r="AE117" s="72" t="s">
        <v>159</v>
      </c>
      <c r="AF117" s="72" t="s">
        <v>160</v>
      </c>
      <c r="AG117" s="72" t="s">
        <v>161</v>
      </c>
      <c r="AH117" s="72">
        <v>55055</v>
      </c>
      <c r="AI117" s="73" t="s">
        <v>266</v>
      </c>
      <c r="AJ117" s="73" t="s">
        <v>212</v>
      </c>
    </row>
    <row r="118" spans="1:36" s="72" customFormat="1">
      <c r="A118" s="72" t="str">
        <f t="shared" si="1"/>
        <v>createAndConfirmGuidedBookingMedical_EXPRESS_HEAVY_MedicalshipmentnotfortransplantDiagnosticSpecimen_International</v>
      </c>
      <c r="B118" s="72" t="s">
        <v>44</v>
      </c>
      <c r="C118" s="72" t="s">
        <v>249</v>
      </c>
      <c r="D118" s="46" t="s">
        <v>125</v>
      </c>
      <c r="E118" s="44" t="s">
        <v>124</v>
      </c>
      <c r="F118" s="72" t="b">
        <v>1</v>
      </c>
      <c r="G118" s="72" t="s">
        <v>35</v>
      </c>
      <c r="H118" s="72" t="s">
        <v>142</v>
      </c>
      <c r="I118" s="72" t="s">
        <v>323</v>
      </c>
      <c r="J118" s="72" t="s">
        <v>181</v>
      </c>
      <c r="K118" s="72" t="s">
        <v>305</v>
      </c>
      <c r="L118" s="72">
        <v>65</v>
      </c>
      <c r="M118" s="72" t="s">
        <v>197</v>
      </c>
      <c r="N118" s="72">
        <v>1</v>
      </c>
      <c r="O118" s="72">
        <v>10</v>
      </c>
      <c r="P118" s="72">
        <v>10</v>
      </c>
      <c r="Q118" s="72">
        <v>10</v>
      </c>
      <c r="R118" s="72" t="s">
        <v>255</v>
      </c>
      <c r="S118" s="72" t="s">
        <v>19</v>
      </c>
      <c r="T118" s="72" t="s">
        <v>20</v>
      </c>
      <c r="U118" s="72" t="s">
        <v>20</v>
      </c>
      <c r="V118" s="72" t="s">
        <v>20</v>
      </c>
      <c r="W118" s="72">
        <v>6</v>
      </c>
      <c r="X118" s="72" t="s">
        <v>20</v>
      </c>
      <c r="Y118" s="72" t="s">
        <v>35</v>
      </c>
      <c r="Z118" s="73" t="s">
        <v>23</v>
      </c>
      <c r="AA118" s="72" t="s">
        <v>21</v>
      </c>
      <c r="AB118" s="72" t="s">
        <v>22</v>
      </c>
      <c r="AC118" s="72" t="s">
        <v>35</v>
      </c>
      <c r="AD118" s="72" t="s">
        <v>158</v>
      </c>
      <c r="AE118" s="72" t="s">
        <v>159</v>
      </c>
      <c r="AF118" s="72" t="s">
        <v>160</v>
      </c>
      <c r="AG118" s="72" t="s">
        <v>161</v>
      </c>
      <c r="AH118" s="72">
        <v>55055</v>
      </c>
      <c r="AI118" s="73" t="s">
        <v>266</v>
      </c>
      <c r="AJ118" s="73" t="s">
        <v>212</v>
      </c>
    </row>
    <row r="119" spans="1:36" s="72" customFormat="1">
      <c r="A119" s="72" t="str">
        <f t="shared" si="1"/>
        <v>createAndConfirmGuidedBookingMedical_EXPRESS_MedicalshipmentnotfortransplantOther_International</v>
      </c>
      <c r="B119" s="72" t="s">
        <v>44</v>
      </c>
      <c r="C119" s="72" t="s">
        <v>235</v>
      </c>
      <c r="D119" s="46" t="s">
        <v>125</v>
      </c>
      <c r="E119" s="44" t="s">
        <v>124</v>
      </c>
      <c r="F119" s="72" t="b">
        <v>1</v>
      </c>
      <c r="G119" s="72" t="s">
        <v>35</v>
      </c>
      <c r="H119" s="72" t="s">
        <v>142</v>
      </c>
      <c r="I119" s="72" t="s">
        <v>254</v>
      </c>
      <c r="J119" s="72" t="s">
        <v>182</v>
      </c>
      <c r="K119" s="72" t="s">
        <v>305</v>
      </c>
      <c r="L119" s="72">
        <v>45</v>
      </c>
      <c r="M119" s="72" t="s">
        <v>145</v>
      </c>
      <c r="N119" s="72">
        <v>1</v>
      </c>
      <c r="O119" s="72">
        <v>10</v>
      </c>
      <c r="P119" s="72">
        <v>10</v>
      </c>
      <c r="Q119" s="72">
        <v>10</v>
      </c>
      <c r="R119" s="72" t="s">
        <v>152</v>
      </c>
      <c r="S119" s="72" t="s">
        <v>262</v>
      </c>
      <c r="T119" s="72" t="s">
        <v>20</v>
      </c>
      <c r="U119" s="72" t="s">
        <v>20</v>
      </c>
      <c r="V119" s="72" t="s">
        <v>20</v>
      </c>
      <c r="W119" s="72">
        <v>6</v>
      </c>
      <c r="X119" s="72" t="s">
        <v>20</v>
      </c>
      <c r="Y119" s="72" t="s">
        <v>35</v>
      </c>
      <c r="Z119" s="73" t="s">
        <v>23</v>
      </c>
      <c r="AA119" s="72" t="s">
        <v>21</v>
      </c>
      <c r="AB119" s="72" t="s">
        <v>22</v>
      </c>
      <c r="AC119" s="72" t="s">
        <v>35</v>
      </c>
      <c r="AD119" s="72" t="s">
        <v>158</v>
      </c>
      <c r="AE119" s="72" t="s">
        <v>159</v>
      </c>
      <c r="AF119" s="72" t="s">
        <v>160</v>
      </c>
      <c r="AG119" s="72" t="s">
        <v>161</v>
      </c>
      <c r="AH119" s="72">
        <v>55055</v>
      </c>
      <c r="AI119" s="73" t="s">
        <v>266</v>
      </c>
      <c r="AJ119" s="73" t="s">
        <v>212</v>
      </c>
    </row>
    <row r="120" spans="1:36" s="59" customFormat="1">
      <c r="A120" s="59" t="str">
        <f t="shared" si="1"/>
        <v>createAndConfirmGuidedBookingValuables_SAFE_Valuegreaterthan25000USD_Domestic</v>
      </c>
      <c r="B120" s="59" t="s">
        <v>87</v>
      </c>
      <c r="C120" s="59" t="s">
        <v>185</v>
      </c>
      <c r="D120" s="46" t="s">
        <v>125</v>
      </c>
      <c r="E120" s="44" t="s">
        <v>124</v>
      </c>
      <c r="F120" s="59" t="b">
        <v>1</v>
      </c>
      <c r="G120" s="59" t="s">
        <v>35</v>
      </c>
      <c r="H120" s="59" t="s">
        <v>142</v>
      </c>
      <c r="I120" s="59" t="s">
        <v>165</v>
      </c>
      <c r="J120" s="59" t="s">
        <v>183</v>
      </c>
      <c r="K120" s="59" t="s">
        <v>306</v>
      </c>
      <c r="L120" s="59">
        <v>30</v>
      </c>
      <c r="M120" s="59" t="s">
        <v>197</v>
      </c>
      <c r="N120" s="59">
        <v>2</v>
      </c>
      <c r="O120" s="59">
        <v>10</v>
      </c>
      <c r="P120" s="59">
        <v>10</v>
      </c>
      <c r="Q120" s="59">
        <v>10</v>
      </c>
      <c r="R120" s="59" t="s">
        <v>255</v>
      </c>
      <c r="S120" s="59" t="s">
        <v>35</v>
      </c>
      <c r="T120" s="59" t="s">
        <v>20</v>
      </c>
      <c r="U120" s="59" t="s">
        <v>20</v>
      </c>
      <c r="V120" s="59" t="s">
        <v>20</v>
      </c>
      <c r="W120" s="59">
        <v>6</v>
      </c>
      <c r="X120" s="59" t="s">
        <v>20</v>
      </c>
      <c r="Y120" s="59" t="s">
        <v>35</v>
      </c>
      <c r="Z120" s="47" t="s">
        <v>23</v>
      </c>
      <c r="AA120" s="59" t="s">
        <v>21</v>
      </c>
      <c r="AB120" s="59" t="s">
        <v>22</v>
      </c>
      <c r="AC120" s="59" t="s">
        <v>35</v>
      </c>
      <c r="AD120" s="59" t="s">
        <v>158</v>
      </c>
      <c r="AE120" s="59" t="s">
        <v>159</v>
      </c>
      <c r="AF120" s="59" t="s">
        <v>160</v>
      </c>
      <c r="AG120" s="59" t="s">
        <v>161</v>
      </c>
      <c r="AH120" s="59">
        <v>55055</v>
      </c>
      <c r="AI120" s="60" t="s">
        <v>106</v>
      </c>
      <c r="AJ120" s="60" t="s">
        <v>208</v>
      </c>
    </row>
    <row r="121" spans="1:36" s="59" customFormat="1">
      <c r="A121" s="59" t="str">
        <f t="shared" si="1"/>
        <v>createAndConfirmGuidedBookingValuables_SAFE_Valuelessthan25000USD_Domestic</v>
      </c>
      <c r="B121" s="59" t="s">
        <v>87</v>
      </c>
      <c r="C121" s="59" t="s">
        <v>185</v>
      </c>
      <c r="D121" s="46" t="s">
        <v>125</v>
      </c>
      <c r="E121" s="44" t="s">
        <v>124</v>
      </c>
      <c r="F121" s="59" t="b">
        <v>1</v>
      </c>
      <c r="G121" s="59" t="s">
        <v>35</v>
      </c>
      <c r="H121" s="59" t="s">
        <v>251</v>
      </c>
      <c r="I121" s="59" t="s">
        <v>143</v>
      </c>
      <c r="J121" s="59" t="s">
        <v>184</v>
      </c>
      <c r="K121" s="59" t="s">
        <v>306</v>
      </c>
      <c r="L121" s="59">
        <v>20</v>
      </c>
      <c r="M121" s="59" t="s">
        <v>145</v>
      </c>
      <c r="N121" s="59">
        <v>3</v>
      </c>
      <c r="O121" s="59">
        <v>10</v>
      </c>
      <c r="P121" s="59">
        <v>10</v>
      </c>
      <c r="Q121" s="59">
        <v>10</v>
      </c>
      <c r="R121" s="59" t="s">
        <v>152</v>
      </c>
      <c r="S121" s="59" t="s">
        <v>35</v>
      </c>
      <c r="T121" s="59" t="s">
        <v>20</v>
      </c>
      <c r="U121" s="59" t="s">
        <v>20</v>
      </c>
      <c r="V121" s="59" t="s">
        <v>20</v>
      </c>
      <c r="W121" s="59">
        <v>6</v>
      </c>
      <c r="X121" s="59" t="s">
        <v>20</v>
      </c>
      <c r="Y121" s="59" t="s">
        <v>35</v>
      </c>
      <c r="Z121" s="47" t="s">
        <v>23</v>
      </c>
      <c r="AA121" s="59" t="s">
        <v>21</v>
      </c>
      <c r="AB121" s="59" t="s">
        <v>22</v>
      </c>
      <c r="AC121" s="59" t="s">
        <v>35</v>
      </c>
      <c r="AD121" s="59" t="s">
        <v>158</v>
      </c>
      <c r="AE121" s="59" t="s">
        <v>159</v>
      </c>
      <c r="AF121" s="59" t="s">
        <v>160</v>
      </c>
      <c r="AG121" s="59" t="s">
        <v>161</v>
      </c>
      <c r="AH121" s="59">
        <v>55055</v>
      </c>
      <c r="AI121" s="60" t="s">
        <v>106</v>
      </c>
      <c r="AJ121" s="60" t="s">
        <v>208</v>
      </c>
    </row>
    <row r="122" spans="1:36" s="59" customFormat="1">
      <c r="A122" s="59" t="str">
        <f t="shared" si="1"/>
        <v>createAndConfirmGuidedBookingValuables_SAFE_Valuegreaterthan25000USD_International</v>
      </c>
      <c r="B122" s="59" t="s">
        <v>87</v>
      </c>
      <c r="C122" s="59" t="s">
        <v>185</v>
      </c>
      <c r="D122" s="46" t="s">
        <v>125</v>
      </c>
      <c r="E122" s="44" t="s">
        <v>124</v>
      </c>
      <c r="F122" s="59" t="b">
        <v>1</v>
      </c>
      <c r="G122" s="59" t="s">
        <v>35</v>
      </c>
      <c r="H122" s="59" t="s">
        <v>142</v>
      </c>
      <c r="I122" s="59" t="s">
        <v>254</v>
      </c>
      <c r="J122" s="59" t="s">
        <v>183</v>
      </c>
      <c r="K122" s="59" t="s">
        <v>306</v>
      </c>
      <c r="L122" s="59">
        <v>50</v>
      </c>
      <c r="M122" s="59" t="s">
        <v>197</v>
      </c>
      <c r="N122" s="59">
        <v>4</v>
      </c>
      <c r="O122" s="59">
        <v>10</v>
      </c>
      <c r="P122" s="59">
        <v>10</v>
      </c>
      <c r="Q122" s="59">
        <v>10</v>
      </c>
      <c r="R122" s="59" t="s">
        <v>255</v>
      </c>
      <c r="S122" s="59" t="s">
        <v>35</v>
      </c>
      <c r="T122" s="59" t="s">
        <v>20</v>
      </c>
      <c r="U122" s="59" t="s">
        <v>20</v>
      </c>
      <c r="V122" s="59" t="s">
        <v>20</v>
      </c>
      <c r="W122" s="59">
        <v>6</v>
      </c>
      <c r="X122" s="59" t="s">
        <v>20</v>
      </c>
      <c r="Y122" s="59" t="s">
        <v>35</v>
      </c>
      <c r="Z122" s="47" t="s">
        <v>23</v>
      </c>
      <c r="AA122" s="59" t="s">
        <v>21</v>
      </c>
      <c r="AB122" s="59" t="s">
        <v>22</v>
      </c>
      <c r="AC122" s="59" t="s">
        <v>35</v>
      </c>
      <c r="AD122" s="59" t="s">
        <v>158</v>
      </c>
      <c r="AE122" s="59" t="s">
        <v>159</v>
      </c>
      <c r="AF122" s="59" t="s">
        <v>160</v>
      </c>
      <c r="AG122" s="59" t="s">
        <v>161</v>
      </c>
      <c r="AH122" s="59">
        <v>55055</v>
      </c>
      <c r="AI122" s="60" t="s">
        <v>266</v>
      </c>
      <c r="AJ122" s="60" t="s">
        <v>212</v>
      </c>
    </row>
    <row r="123" spans="1:36" s="59" customFormat="1">
      <c r="A123" s="59" t="str">
        <f t="shared" si="1"/>
        <v>createAndConfirmGuidedBookingValuables_SAFE_Valuelessthan25000USD_International</v>
      </c>
      <c r="B123" s="59" t="s">
        <v>87</v>
      </c>
      <c r="C123" s="59" t="s">
        <v>185</v>
      </c>
      <c r="D123" s="46" t="s">
        <v>125</v>
      </c>
      <c r="E123" s="44" t="s">
        <v>124</v>
      </c>
      <c r="F123" s="59" t="b">
        <v>1</v>
      </c>
      <c r="G123" s="59" t="s">
        <v>35</v>
      </c>
      <c r="H123" s="59" t="s">
        <v>142</v>
      </c>
      <c r="I123" s="59" t="s">
        <v>323</v>
      </c>
      <c r="J123" s="59" t="s">
        <v>184</v>
      </c>
      <c r="K123" s="59" t="s">
        <v>306</v>
      </c>
      <c r="L123" s="59">
        <v>40</v>
      </c>
      <c r="M123" s="59" t="s">
        <v>145</v>
      </c>
      <c r="N123" s="59">
        <v>5</v>
      </c>
      <c r="O123" s="59">
        <v>10</v>
      </c>
      <c r="P123" s="59">
        <v>10</v>
      </c>
      <c r="Q123" s="59">
        <v>10</v>
      </c>
      <c r="R123" s="59" t="s">
        <v>152</v>
      </c>
      <c r="S123" s="59" t="s">
        <v>35</v>
      </c>
      <c r="T123" s="59" t="s">
        <v>20</v>
      </c>
      <c r="U123" s="59" t="s">
        <v>20</v>
      </c>
      <c r="V123" s="59" t="s">
        <v>20</v>
      </c>
      <c r="W123" s="59">
        <v>6</v>
      </c>
      <c r="X123" s="59" t="s">
        <v>20</v>
      </c>
      <c r="Y123" s="59" t="s">
        <v>35</v>
      </c>
      <c r="Z123" s="47" t="s">
        <v>23</v>
      </c>
      <c r="AA123" s="59" t="s">
        <v>21</v>
      </c>
      <c r="AB123" s="59" t="s">
        <v>22</v>
      </c>
      <c r="AC123" s="59" t="s">
        <v>35</v>
      </c>
      <c r="AD123" s="59" t="s">
        <v>158</v>
      </c>
      <c r="AE123" s="59" t="s">
        <v>159</v>
      </c>
      <c r="AF123" s="59" t="s">
        <v>160</v>
      </c>
      <c r="AG123" s="59" t="s">
        <v>161</v>
      </c>
      <c r="AH123" s="59">
        <v>55055</v>
      </c>
      <c r="AI123" s="60" t="s">
        <v>266</v>
      </c>
      <c r="AJ123" s="60" t="s">
        <v>212</v>
      </c>
    </row>
    <row r="124" spans="1:36" s="61" customFormat="1">
      <c r="A124" s="61" t="str">
        <f t="shared" si="1"/>
        <v>createAndConfirmGuidedBookingHumanRemains_CARE_Adult_Domestic</v>
      </c>
      <c r="B124" s="61" t="s">
        <v>310</v>
      </c>
      <c r="C124" s="61" t="s">
        <v>338</v>
      </c>
      <c r="D124" s="46" t="s">
        <v>125</v>
      </c>
      <c r="E124" s="44" t="s">
        <v>124</v>
      </c>
      <c r="F124" s="61" t="b">
        <v>1</v>
      </c>
      <c r="G124" s="61" t="s">
        <v>35</v>
      </c>
      <c r="H124" s="61" t="s">
        <v>142</v>
      </c>
      <c r="I124" s="61" t="s">
        <v>143</v>
      </c>
      <c r="J124" s="61" t="s">
        <v>186</v>
      </c>
      <c r="K124" s="61" t="s">
        <v>307</v>
      </c>
      <c r="L124" s="61">
        <v>79</v>
      </c>
      <c r="M124" s="61" t="s">
        <v>145</v>
      </c>
      <c r="N124" s="61">
        <v>1</v>
      </c>
      <c r="O124" s="61">
        <v>10</v>
      </c>
      <c r="P124" s="61">
        <v>10</v>
      </c>
      <c r="Q124" s="61">
        <v>10</v>
      </c>
      <c r="R124" s="61" t="s">
        <v>152</v>
      </c>
      <c r="S124" s="61" t="s">
        <v>35</v>
      </c>
      <c r="T124" s="61" t="s">
        <v>20</v>
      </c>
      <c r="U124" s="61" t="s">
        <v>20</v>
      </c>
      <c r="V124" s="61" t="s">
        <v>20</v>
      </c>
      <c r="W124" s="61">
        <v>6</v>
      </c>
      <c r="X124" s="61" t="s">
        <v>20</v>
      </c>
      <c r="Y124" s="61" t="s">
        <v>257</v>
      </c>
      <c r="Z124" s="47" t="s">
        <v>23</v>
      </c>
      <c r="AA124" s="61" t="s">
        <v>21</v>
      </c>
      <c r="AB124" s="61" t="s">
        <v>22</v>
      </c>
      <c r="AC124" s="61" t="s">
        <v>35</v>
      </c>
      <c r="AD124" s="61" t="s">
        <v>158</v>
      </c>
      <c r="AE124" s="61" t="s">
        <v>159</v>
      </c>
      <c r="AF124" s="61" t="s">
        <v>160</v>
      </c>
      <c r="AG124" s="61" t="s">
        <v>161</v>
      </c>
      <c r="AH124" s="61">
        <v>55055</v>
      </c>
      <c r="AI124" s="62" t="s">
        <v>106</v>
      </c>
      <c r="AJ124" s="62" t="s">
        <v>208</v>
      </c>
    </row>
    <row r="125" spans="1:36" s="61" customFormat="1">
      <c r="A125" s="61" t="str">
        <f t="shared" si="1"/>
        <v>createAndConfirmGuidedBookingHumanRemains_CARE_ChildInfant_Domestic</v>
      </c>
      <c r="B125" s="61" t="s">
        <v>310</v>
      </c>
      <c r="C125" s="61" t="s">
        <v>338</v>
      </c>
      <c r="D125" s="46" t="s">
        <v>125</v>
      </c>
      <c r="E125" s="44" t="s">
        <v>124</v>
      </c>
      <c r="F125" s="61" t="b">
        <v>1</v>
      </c>
      <c r="G125" s="61" t="s">
        <v>35</v>
      </c>
      <c r="H125" s="61" t="s">
        <v>142</v>
      </c>
      <c r="I125" s="61" t="s">
        <v>143</v>
      </c>
      <c r="J125" s="61" t="s">
        <v>187</v>
      </c>
      <c r="K125" s="61" t="s">
        <v>307</v>
      </c>
      <c r="L125" s="61">
        <v>36</v>
      </c>
      <c r="M125" s="61" t="s">
        <v>145</v>
      </c>
      <c r="N125" s="61">
        <v>1</v>
      </c>
      <c r="O125" s="61">
        <v>10</v>
      </c>
      <c r="P125" s="61">
        <v>10</v>
      </c>
      <c r="Q125" s="61">
        <v>10</v>
      </c>
      <c r="R125" s="61" t="s">
        <v>152</v>
      </c>
      <c r="S125" s="61" t="s">
        <v>35</v>
      </c>
      <c r="T125" s="61" t="s">
        <v>20</v>
      </c>
      <c r="U125" s="61" t="s">
        <v>20</v>
      </c>
      <c r="V125" s="61" t="s">
        <v>20</v>
      </c>
      <c r="W125" s="61">
        <v>6</v>
      </c>
      <c r="X125" s="61" t="s">
        <v>20</v>
      </c>
      <c r="Y125" s="61" t="s">
        <v>258</v>
      </c>
      <c r="Z125" s="47" t="s">
        <v>23</v>
      </c>
      <c r="AA125" s="61" t="s">
        <v>21</v>
      </c>
      <c r="AB125" s="61" t="s">
        <v>22</v>
      </c>
      <c r="AC125" s="61" t="s">
        <v>35</v>
      </c>
      <c r="AD125" s="61" t="s">
        <v>158</v>
      </c>
      <c r="AE125" s="61" t="s">
        <v>159</v>
      </c>
      <c r="AF125" s="61" t="s">
        <v>160</v>
      </c>
      <c r="AG125" s="61" t="s">
        <v>161</v>
      </c>
      <c r="AH125" s="61">
        <v>55055</v>
      </c>
      <c r="AI125" s="62" t="s">
        <v>106</v>
      </c>
      <c r="AJ125" s="62" t="s">
        <v>208</v>
      </c>
    </row>
    <row r="126" spans="1:36" s="61" customFormat="1">
      <c r="A126" s="61" t="str">
        <f t="shared" si="1"/>
        <v>createAndConfirmGuidedBookingHumanRemains_CARE_CrematedRemains_Domestic</v>
      </c>
      <c r="B126" s="61" t="s">
        <v>310</v>
      </c>
      <c r="C126" s="61" t="s">
        <v>338</v>
      </c>
      <c r="D126" s="46" t="s">
        <v>125</v>
      </c>
      <c r="E126" s="44" t="s">
        <v>124</v>
      </c>
      <c r="F126" s="61" t="b">
        <v>1</v>
      </c>
      <c r="G126" s="61" t="s">
        <v>35</v>
      </c>
      <c r="H126" s="61" t="s">
        <v>142</v>
      </c>
      <c r="I126" s="61" t="s">
        <v>143</v>
      </c>
      <c r="J126" s="61" t="s">
        <v>188</v>
      </c>
      <c r="K126" s="61" t="s">
        <v>307</v>
      </c>
      <c r="L126" s="61">
        <v>59</v>
      </c>
      <c r="M126" s="61" t="s">
        <v>145</v>
      </c>
      <c r="N126" s="61">
        <v>1</v>
      </c>
      <c r="O126" s="61">
        <v>10</v>
      </c>
      <c r="P126" s="61">
        <v>10</v>
      </c>
      <c r="Q126" s="61">
        <v>10</v>
      </c>
      <c r="R126" s="61" t="s">
        <v>152</v>
      </c>
      <c r="S126" s="61" t="s">
        <v>35</v>
      </c>
      <c r="T126" s="61" t="s">
        <v>20</v>
      </c>
      <c r="U126" s="61" t="s">
        <v>20</v>
      </c>
      <c r="V126" s="61" t="s">
        <v>20</v>
      </c>
      <c r="W126" s="61">
        <v>6</v>
      </c>
      <c r="X126" s="61" t="s">
        <v>20</v>
      </c>
      <c r="Y126" s="61" t="s">
        <v>259</v>
      </c>
      <c r="Z126" s="47" t="s">
        <v>23</v>
      </c>
      <c r="AA126" s="61" t="s">
        <v>21</v>
      </c>
      <c r="AB126" s="61" t="s">
        <v>22</v>
      </c>
      <c r="AC126" s="61" t="s">
        <v>35</v>
      </c>
      <c r="AD126" s="61" t="s">
        <v>158</v>
      </c>
      <c r="AE126" s="61" t="s">
        <v>159</v>
      </c>
      <c r="AF126" s="61" t="s">
        <v>160</v>
      </c>
      <c r="AG126" s="61" t="s">
        <v>161</v>
      </c>
      <c r="AH126" s="61">
        <v>55055</v>
      </c>
      <c r="AI126" s="62" t="s">
        <v>106</v>
      </c>
      <c r="AJ126" s="62" t="s">
        <v>208</v>
      </c>
    </row>
    <row r="127" spans="1:36" s="61" customFormat="1">
      <c r="A127" s="61" t="str">
        <f t="shared" si="1"/>
        <v>createAndConfirmGuidedBookingHumanRemains_CARE_Adult_International</v>
      </c>
      <c r="B127" s="61" t="s">
        <v>310</v>
      </c>
      <c r="C127" s="61" t="s">
        <v>338</v>
      </c>
      <c r="D127" s="46" t="s">
        <v>125</v>
      </c>
      <c r="E127" s="44" t="s">
        <v>124</v>
      </c>
      <c r="F127" s="61" t="b">
        <v>1</v>
      </c>
      <c r="G127" s="61" t="s">
        <v>35</v>
      </c>
      <c r="H127" s="61" t="s">
        <v>142</v>
      </c>
      <c r="I127" s="61" t="s">
        <v>254</v>
      </c>
      <c r="J127" s="61" t="s">
        <v>186</v>
      </c>
      <c r="K127" s="61" t="s">
        <v>307</v>
      </c>
      <c r="L127" s="61">
        <v>79</v>
      </c>
      <c r="M127" s="61" t="s">
        <v>197</v>
      </c>
      <c r="N127" s="61">
        <v>1</v>
      </c>
      <c r="O127" s="61">
        <v>10</v>
      </c>
      <c r="P127" s="61">
        <v>10</v>
      </c>
      <c r="Q127" s="61">
        <v>10</v>
      </c>
      <c r="R127" s="61" t="s">
        <v>255</v>
      </c>
      <c r="S127" s="61" t="s">
        <v>35</v>
      </c>
      <c r="T127" s="61" t="s">
        <v>20</v>
      </c>
      <c r="U127" s="61" t="s">
        <v>20</v>
      </c>
      <c r="V127" s="61" t="s">
        <v>20</v>
      </c>
      <c r="W127" s="61">
        <v>6</v>
      </c>
      <c r="X127" s="61" t="s">
        <v>20</v>
      </c>
      <c r="Y127" s="61" t="s">
        <v>260</v>
      </c>
      <c r="Z127" s="47" t="s">
        <v>23</v>
      </c>
      <c r="AA127" s="61" t="s">
        <v>21</v>
      </c>
      <c r="AB127" s="61" t="s">
        <v>22</v>
      </c>
      <c r="AC127" s="61" t="s">
        <v>35</v>
      </c>
      <c r="AD127" s="61" t="s">
        <v>158</v>
      </c>
      <c r="AE127" s="61" t="s">
        <v>159</v>
      </c>
      <c r="AF127" s="61" t="s">
        <v>160</v>
      </c>
      <c r="AG127" s="61" t="s">
        <v>161</v>
      </c>
      <c r="AH127" s="61">
        <v>55055</v>
      </c>
      <c r="AI127" s="62" t="s">
        <v>266</v>
      </c>
      <c r="AJ127" s="62" t="s">
        <v>212</v>
      </c>
    </row>
    <row r="128" spans="1:36" s="61" customFormat="1">
      <c r="A128" s="61" t="str">
        <f t="shared" si="1"/>
        <v>createAndConfirmGuidedBookingHumanRemains_CARE_ChildInfant_International</v>
      </c>
      <c r="B128" s="61" t="s">
        <v>310</v>
      </c>
      <c r="C128" s="61" t="s">
        <v>338</v>
      </c>
      <c r="D128" s="46" t="s">
        <v>125</v>
      </c>
      <c r="E128" s="44" t="s">
        <v>124</v>
      </c>
      <c r="F128" s="61" t="b">
        <v>1</v>
      </c>
      <c r="G128" s="61" t="s">
        <v>35</v>
      </c>
      <c r="H128" s="61" t="s">
        <v>142</v>
      </c>
      <c r="I128" s="61" t="s">
        <v>254</v>
      </c>
      <c r="J128" s="61" t="s">
        <v>187</v>
      </c>
      <c r="K128" s="61" t="s">
        <v>307</v>
      </c>
      <c r="L128" s="61">
        <v>36</v>
      </c>
      <c r="M128" s="61" t="s">
        <v>197</v>
      </c>
      <c r="N128" s="61">
        <v>1</v>
      </c>
      <c r="O128" s="61">
        <v>10</v>
      </c>
      <c r="P128" s="61">
        <v>10</v>
      </c>
      <c r="Q128" s="61">
        <v>10</v>
      </c>
      <c r="R128" s="61" t="s">
        <v>255</v>
      </c>
      <c r="S128" s="61" t="s">
        <v>35</v>
      </c>
      <c r="T128" s="61" t="s">
        <v>20</v>
      </c>
      <c r="U128" s="61" t="s">
        <v>20</v>
      </c>
      <c r="V128" s="61" t="s">
        <v>20</v>
      </c>
      <c r="W128" s="61">
        <v>6</v>
      </c>
      <c r="X128" s="61" t="s">
        <v>20</v>
      </c>
      <c r="Y128" s="61" t="s">
        <v>261</v>
      </c>
      <c r="Z128" s="47" t="s">
        <v>23</v>
      </c>
      <c r="AA128" s="61" t="s">
        <v>21</v>
      </c>
      <c r="AB128" s="61" t="s">
        <v>22</v>
      </c>
      <c r="AC128" s="61" t="s">
        <v>35</v>
      </c>
      <c r="AD128" s="61" t="s">
        <v>158</v>
      </c>
      <c r="AE128" s="61" t="s">
        <v>159</v>
      </c>
      <c r="AF128" s="61" t="s">
        <v>160</v>
      </c>
      <c r="AG128" s="61" t="s">
        <v>161</v>
      </c>
      <c r="AH128" s="61">
        <v>55055</v>
      </c>
      <c r="AI128" s="62" t="s">
        <v>266</v>
      </c>
      <c r="AJ128" s="62" t="s">
        <v>212</v>
      </c>
    </row>
    <row r="129" spans="1:36" s="61" customFormat="1">
      <c r="A129" s="61" t="str">
        <f t="shared" ref="A129" si="2">_xlfn.CONCAT("createAndConfirmGuidedBooking",SUBSTITUTE(B129," ","_"),"_",SUBSTITUTE(C129," ","_"),"_",SUBSTITUTE(SUBSTITUTE(SUBSTITUTE(SUBSTITUTE(SUBSTITUTE(SUBSTITUTE(SUBSTITUTE(J129," ",""),"-",""),"/",""),"–",""),"+",""),"°",""),",",""),"_",SUBSTITUTE(AJ129," ","_"))</f>
        <v>createAndConfirmGuidedBookingHumanRemains_CARE_CrematedRemains_International</v>
      </c>
      <c r="B129" s="61" t="s">
        <v>310</v>
      </c>
      <c r="C129" s="61" t="s">
        <v>338</v>
      </c>
      <c r="D129" s="46" t="s">
        <v>125</v>
      </c>
      <c r="E129" s="44" t="s">
        <v>124</v>
      </c>
      <c r="F129" s="61" t="b">
        <v>1</v>
      </c>
      <c r="G129" s="61" t="s">
        <v>35</v>
      </c>
      <c r="H129" s="61" t="s">
        <v>142</v>
      </c>
      <c r="I129" s="61" t="s">
        <v>254</v>
      </c>
      <c r="J129" s="61" t="s">
        <v>188</v>
      </c>
      <c r="K129" s="61" t="s">
        <v>307</v>
      </c>
      <c r="L129" s="61">
        <v>59</v>
      </c>
      <c r="M129" s="61" t="s">
        <v>197</v>
      </c>
      <c r="N129" s="61">
        <v>1</v>
      </c>
      <c r="O129" s="61">
        <v>10</v>
      </c>
      <c r="P129" s="61">
        <v>10</v>
      </c>
      <c r="Q129" s="61">
        <v>10</v>
      </c>
      <c r="R129" s="61" t="s">
        <v>255</v>
      </c>
      <c r="S129" s="61" t="s">
        <v>35</v>
      </c>
      <c r="T129" s="61" t="s">
        <v>20</v>
      </c>
      <c r="U129" s="61" t="s">
        <v>20</v>
      </c>
      <c r="V129" s="61" t="s">
        <v>20</v>
      </c>
      <c r="W129" s="61">
        <v>6</v>
      </c>
      <c r="X129" s="61" t="s">
        <v>20</v>
      </c>
      <c r="Y129" s="61" t="s">
        <v>259</v>
      </c>
      <c r="Z129" s="47" t="s">
        <v>23</v>
      </c>
      <c r="AA129" s="61" t="s">
        <v>21</v>
      </c>
      <c r="AB129" s="61" t="s">
        <v>22</v>
      </c>
      <c r="AC129" s="61" t="s">
        <v>35</v>
      </c>
      <c r="AD129" s="61" t="s">
        <v>158</v>
      </c>
      <c r="AE129" s="61" t="s">
        <v>159</v>
      </c>
      <c r="AF129" s="61" t="s">
        <v>160</v>
      </c>
      <c r="AG129" s="61" t="s">
        <v>161</v>
      </c>
      <c r="AH129" s="61">
        <v>55055</v>
      </c>
      <c r="AI129" s="62" t="s">
        <v>266</v>
      </c>
      <c r="AJ129" s="62" t="s">
        <v>212</v>
      </c>
    </row>
  </sheetData>
  <autoFilter ref="A1:AL129" xr:uid="{1DAEE888-1773-9E47-9558-1F0A440779BF}"/>
  <phoneticPr fontId="4" type="noConversion"/>
  <hyperlinks>
    <hyperlink ref="D2" r:id="rId1" xr:uid="{A27DD8EB-70E3-9343-A2F0-4EC1F414F378}"/>
    <hyperlink ref="D3" r:id="rId2" xr:uid="{B7F22B40-D1E3-41A2-B580-43255BDF4D3A}"/>
    <hyperlink ref="D4" r:id="rId3" xr:uid="{714526A7-8F41-4C89-96F6-E15356F5D882}"/>
    <hyperlink ref="D5" r:id="rId4" xr:uid="{08AB9F58-5F4D-47F8-8872-EA84A187782B}"/>
    <hyperlink ref="D6" r:id="rId5" xr:uid="{21819670-880E-400C-97B1-85B31697D508}"/>
    <hyperlink ref="D7" r:id="rId6" xr:uid="{C9E7B378-F3B2-46CC-80B7-02415D97561E}"/>
    <hyperlink ref="D8" r:id="rId7" xr:uid="{1B5AEDCA-ED72-432A-A1BA-4AFDA49975B0}"/>
    <hyperlink ref="D9" r:id="rId8" xr:uid="{A981F0A0-1ADC-438D-9B3B-DA5C1D12051F}"/>
    <hyperlink ref="D10" r:id="rId9" xr:uid="{D7311E66-7261-4F74-B8BF-66BDFF185025}"/>
    <hyperlink ref="D11" r:id="rId10" xr:uid="{F1B6742C-8652-4D73-841F-CF866D47B7E3}"/>
    <hyperlink ref="D12" r:id="rId11" xr:uid="{BA59A192-190C-4D8D-B59C-0926AE781711}"/>
    <hyperlink ref="D13" r:id="rId12" xr:uid="{3A48CA23-463B-4E4E-800A-8E366EE5F020}"/>
    <hyperlink ref="D14" r:id="rId13" xr:uid="{F2A1B3C2-6D76-4CCC-926E-2D8A4D1AC86A}"/>
    <hyperlink ref="D15" r:id="rId14" xr:uid="{B3D320AF-31AC-4E28-AE75-B854A0F91D17}"/>
    <hyperlink ref="D16" r:id="rId15" xr:uid="{9A08EBC6-EC45-4963-919A-19977E544F8F}"/>
    <hyperlink ref="D17" r:id="rId16" xr:uid="{968F055F-D964-4C56-820B-3B4DBDA17481}"/>
    <hyperlink ref="D18" r:id="rId17" xr:uid="{074659CB-528C-404A-AAFC-47B6BF4BF211}"/>
    <hyperlink ref="D19" r:id="rId18" xr:uid="{E084FA29-30CD-41EE-ACB0-951F2BE51127}"/>
    <hyperlink ref="D20" r:id="rId19" xr:uid="{D2ADE6F9-BB9C-414A-AB66-1B5FC2F65785}"/>
    <hyperlink ref="D21" r:id="rId20" xr:uid="{4AEC0B99-6A7F-4840-8DBE-5A97DB07397D}"/>
    <hyperlink ref="D22" r:id="rId21" xr:uid="{E6706007-2536-40D6-95FD-C66482BF909A}"/>
    <hyperlink ref="D23" r:id="rId22" xr:uid="{A07FE09E-C9DB-4BE2-8D65-8A45C4B3DAD6}"/>
    <hyperlink ref="D24" r:id="rId23" xr:uid="{C08D9C1F-457C-4C84-BC18-2B79197CBED8}"/>
    <hyperlink ref="D25" r:id="rId24" xr:uid="{0013DB9D-7473-476D-ACC1-CDA9A7A87669}"/>
    <hyperlink ref="D26" r:id="rId25" xr:uid="{9FC3ECE0-FF8B-4037-8CD7-A0A8D19E9CCD}"/>
    <hyperlink ref="D27" r:id="rId26" xr:uid="{80F20E1D-37BA-4FF9-BAA2-D20464CA1720}"/>
    <hyperlink ref="D28" r:id="rId27" xr:uid="{DDBBB8F6-ADFA-4F04-8C98-3ED388374BBD}"/>
    <hyperlink ref="D29" r:id="rId28" xr:uid="{604B4851-835D-429E-BBDA-54FF0638DF08}"/>
    <hyperlink ref="D30" r:id="rId29" xr:uid="{D54FAD56-37D2-45F9-9869-E9A69041DE2D}"/>
    <hyperlink ref="D31" r:id="rId30" xr:uid="{41C483AF-82B8-4AAB-A1E7-A90B23C596E8}"/>
    <hyperlink ref="D32" r:id="rId31" xr:uid="{023F2081-B2E0-459F-AEA9-077B0AA51EE1}"/>
    <hyperlink ref="D33" r:id="rId32" xr:uid="{52B8EE56-76EF-41CA-886F-69B43A2BF957}"/>
    <hyperlink ref="D34" r:id="rId33" xr:uid="{58C56D98-C82E-4468-AE47-AEF828969C57}"/>
    <hyperlink ref="D35" r:id="rId34" xr:uid="{BA6F7CE6-7723-4883-865B-2F932CDA556D}"/>
    <hyperlink ref="D36" r:id="rId35" xr:uid="{FE7EE70E-26AA-44AE-8A65-A17542D5F0AE}"/>
    <hyperlink ref="D37" r:id="rId36" xr:uid="{60506EF7-5D9B-419B-A1C0-7FB72305658C}"/>
    <hyperlink ref="D38" r:id="rId37" xr:uid="{D0A15F63-279D-4A8F-8529-66DD76536F65}"/>
    <hyperlink ref="D39" r:id="rId38" xr:uid="{6D89C4B9-B659-44A1-BA48-239916FFC93A}"/>
    <hyperlink ref="D40" r:id="rId39" xr:uid="{92138D07-AB1B-4B31-891D-55E167BD8487}"/>
    <hyperlink ref="D41" r:id="rId40" xr:uid="{FFB7C96D-2C34-4354-A618-6BE4E3666BE4}"/>
    <hyperlink ref="D42" r:id="rId41" xr:uid="{B17968AC-4A45-4576-80FA-7BBB732815E8}"/>
    <hyperlink ref="D43" r:id="rId42" xr:uid="{1DEC5388-6737-46D3-A387-5398457D25F3}"/>
    <hyperlink ref="D44" r:id="rId43" xr:uid="{476C5254-3C7A-40D9-AC43-1C1BD58A3755}"/>
    <hyperlink ref="D45" r:id="rId44" xr:uid="{E52B5C4F-6792-492F-80A5-3A5564CD718F}"/>
    <hyperlink ref="D46" r:id="rId45" xr:uid="{1E5FD966-3E8A-4101-8DAA-73F4D3A87B26}"/>
    <hyperlink ref="D47" r:id="rId46" xr:uid="{63B3679A-A987-4F69-A92D-F228B9346692}"/>
    <hyperlink ref="D48" r:id="rId47" xr:uid="{2F5D2E74-7FFC-4D65-97CF-02F9ADCF8179}"/>
    <hyperlink ref="D49" r:id="rId48" xr:uid="{0CA6A14B-CECB-4CF0-A061-869A4AF796FB}"/>
    <hyperlink ref="D50" r:id="rId49" xr:uid="{4E2735BE-ADBC-4622-BA40-E407198722B8}"/>
    <hyperlink ref="D51" r:id="rId50" xr:uid="{740F7644-1F03-49B6-A710-57B67D086ECB}"/>
    <hyperlink ref="D52" r:id="rId51" xr:uid="{008DF7E3-1AC4-4085-BEBE-59BA0DB87EE4}"/>
    <hyperlink ref="D53" r:id="rId52" xr:uid="{D27BA793-2FB0-46AC-8368-5E4214733EE2}"/>
    <hyperlink ref="D54" r:id="rId53" xr:uid="{F9119CF9-6548-44C9-B0A3-BFF18F4A7E9C}"/>
    <hyperlink ref="D55" r:id="rId54" xr:uid="{6A0CF230-1D89-4F52-B897-E145019FD195}"/>
    <hyperlink ref="D56" r:id="rId55" xr:uid="{BA276BA2-BF1E-4FD1-BB84-478FCC91BAC9}"/>
    <hyperlink ref="D57" r:id="rId56" xr:uid="{70F54877-7526-48D3-A307-729E12E20E8B}"/>
    <hyperlink ref="D58" r:id="rId57" xr:uid="{63E9113B-6F32-4791-B45B-A1B37E1EDB1D}"/>
    <hyperlink ref="D59" r:id="rId58" xr:uid="{2BD5624D-1FF5-426C-81CE-CB65481F0B5E}"/>
    <hyperlink ref="D60" r:id="rId59" xr:uid="{94AF07C0-801E-4D6F-82C3-2D7772E2EFA2}"/>
    <hyperlink ref="D61" r:id="rId60" xr:uid="{519EE0E6-2497-4F19-9939-08253A93CF4C}"/>
    <hyperlink ref="D62" r:id="rId61" xr:uid="{3A63407F-621D-4A1C-BF14-84480861B80A}"/>
    <hyperlink ref="D63" r:id="rId62" xr:uid="{8AE77103-1101-4ABB-822D-B5D7498C5EB3}"/>
    <hyperlink ref="D64" r:id="rId63" xr:uid="{3656E193-94EC-49FC-85F6-52242C52BB06}"/>
    <hyperlink ref="D65" r:id="rId64" xr:uid="{A3CBA39A-A536-4995-AC25-3F6BCD585857}"/>
    <hyperlink ref="D66" r:id="rId65" xr:uid="{1F4DDE78-BF49-4D87-9879-7A030CA00A58}"/>
    <hyperlink ref="D67" r:id="rId66" xr:uid="{0706121C-7EA4-4125-89B0-F5749A0C3D38}"/>
    <hyperlink ref="D68" r:id="rId67" xr:uid="{F4E26C83-AEC3-445A-BCC0-B57397EA2826}"/>
    <hyperlink ref="D69" r:id="rId68" xr:uid="{FE89CF26-7BD9-4C1E-AB8C-B8E3F7E5CEC7}"/>
    <hyperlink ref="D70" r:id="rId69" xr:uid="{EB778A0A-3497-4390-B52F-98DF79830AA3}"/>
    <hyperlink ref="D71" r:id="rId70" xr:uid="{C7CDF125-879B-4289-9CAB-C5DA4093C4FC}"/>
    <hyperlink ref="D72" r:id="rId71" xr:uid="{B42CE188-CEC6-43E4-8E51-3AEC87609958}"/>
    <hyperlink ref="D73" r:id="rId72" xr:uid="{A89F1F34-5998-40DE-872F-D6B12F3D424F}"/>
    <hyperlink ref="D74" r:id="rId73" xr:uid="{0F4AF020-F64E-4749-97D0-D9E71B57D327}"/>
    <hyperlink ref="D75" r:id="rId74" xr:uid="{56A9C211-C6DE-46C4-8FA7-64EFF2A3C089}"/>
    <hyperlink ref="D76" r:id="rId75" xr:uid="{EEBEF140-EDAE-4325-AC7B-B333519D34FB}"/>
    <hyperlink ref="D77" r:id="rId76" xr:uid="{77564D56-5D18-4498-B055-867E13C9944E}"/>
    <hyperlink ref="D78" r:id="rId77" xr:uid="{2C0FBBD7-91CE-4013-B9CF-8C397BA2AB8C}"/>
    <hyperlink ref="D79" r:id="rId78" xr:uid="{C9B427E4-7145-434F-A8B2-C842765470CA}"/>
    <hyperlink ref="D80" r:id="rId79" xr:uid="{AEDA97C6-B4E4-40C8-841B-0DEED8A2476C}"/>
    <hyperlink ref="D81" r:id="rId80" xr:uid="{DFA0F188-5278-4198-AE8C-C322A51D3AD9}"/>
    <hyperlink ref="D82" r:id="rId81" xr:uid="{038021CA-C287-4BE3-9BAB-30BD76B00E96}"/>
    <hyperlink ref="D83" r:id="rId82" xr:uid="{C4AC5BEE-A415-4590-A46C-506634892C80}"/>
    <hyperlink ref="D84" r:id="rId83" xr:uid="{34320A57-EDFB-4EA5-89D6-6E9EF3DA9A2A}"/>
    <hyperlink ref="D85" r:id="rId84" xr:uid="{E9AEA57F-6FF5-4F17-A461-50AFAC016502}"/>
    <hyperlink ref="D86" r:id="rId85" xr:uid="{7B8EC0FA-F2A2-4598-8586-7F37F4D67E6C}"/>
    <hyperlink ref="D87" r:id="rId86" xr:uid="{D320F4F2-2682-491D-910D-32D861ADF014}"/>
    <hyperlink ref="D88" r:id="rId87" xr:uid="{4E4793C6-78F5-4FD6-B575-ED0BEA4DB4D9}"/>
    <hyperlink ref="D89" r:id="rId88" xr:uid="{8557ACDC-63B6-4107-A388-9B760B1DE113}"/>
    <hyperlink ref="D90" r:id="rId89" xr:uid="{9E5C3EED-0F76-4677-977D-76BA0F9E6B76}"/>
    <hyperlink ref="D91" r:id="rId90" xr:uid="{049114F8-4DE2-4FA5-A419-D18B327C377A}"/>
    <hyperlink ref="D92" r:id="rId91" xr:uid="{26ECB4AC-E2AD-4ABB-8D7D-E8664D46C7BE}"/>
    <hyperlink ref="D93" r:id="rId92" xr:uid="{3A6EA12B-68FF-4D35-B200-3EF2568C7B5D}"/>
    <hyperlink ref="D94" r:id="rId93" xr:uid="{DD344582-ED2F-4301-9E0F-58CFE1696BE6}"/>
    <hyperlink ref="D95" r:id="rId94" xr:uid="{E9D70854-31AB-4FA8-9CFF-282F0FB73B66}"/>
    <hyperlink ref="D96" r:id="rId95" xr:uid="{CBC23075-E28B-464E-BA39-4FE40F656432}"/>
    <hyperlink ref="D97" r:id="rId96" xr:uid="{54321491-A2DA-4A03-A090-7E99FE8C04FA}"/>
    <hyperlink ref="D98" r:id="rId97" xr:uid="{6D322C7F-B673-4DFC-AA63-7BFA5B5421A5}"/>
    <hyperlink ref="D99" r:id="rId98" xr:uid="{C98DB497-AE69-4DA0-885C-D1113EB1584B}"/>
    <hyperlink ref="D100" r:id="rId99" xr:uid="{E94E17E0-CCE1-42FC-87B7-E0C24B081E52}"/>
    <hyperlink ref="D101" r:id="rId100" xr:uid="{D75D79C2-7E37-486B-802A-43D74729274B}"/>
    <hyperlink ref="D102" r:id="rId101" xr:uid="{874508B7-49B4-4606-B532-E5B8F1A7271B}"/>
    <hyperlink ref="D103" r:id="rId102" xr:uid="{2DEB663A-4E7E-4671-A940-3190CF2B54FB}"/>
    <hyperlink ref="D104" r:id="rId103" xr:uid="{DEB7491C-84F2-49C7-8811-B53796A09EDC}"/>
    <hyperlink ref="D105" r:id="rId104" xr:uid="{4002C544-5903-4F3D-8E41-5828064C0974}"/>
    <hyperlink ref="D106" r:id="rId105" xr:uid="{45738947-DA11-4D66-AD4A-235757801D3C}"/>
    <hyperlink ref="D107" r:id="rId106" xr:uid="{2F0A93E8-2972-42A0-ADE3-0B531DC0F243}"/>
    <hyperlink ref="D108" r:id="rId107" xr:uid="{0C6D54EE-E275-48EA-9778-FACCBFB9FA34}"/>
    <hyperlink ref="D109" r:id="rId108" xr:uid="{9F2FD2AB-B835-4992-B725-19F51EBB19F6}"/>
    <hyperlink ref="D110" r:id="rId109" xr:uid="{627CDF66-BC8F-486C-920C-005881E52A44}"/>
    <hyperlink ref="D111" r:id="rId110" xr:uid="{A819AC8B-28BC-4B30-852A-B4F2EEE6CB4E}"/>
    <hyperlink ref="D112" r:id="rId111" xr:uid="{A98D6904-82EA-49E8-9B95-1C7D87D586D2}"/>
    <hyperlink ref="D113" r:id="rId112" xr:uid="{632CD46C-A8D5-4F66-B491-480F73C823AA}"/>
    <hyperlink ref="D114" r:id="rId113" xr:uid="{492FF198-FDE9-48ED-B73E-227729A768A7}"/>
    <hyperlink ref="D115" r:id="rId114" xr:uid="{D2895424-8426-4636-AA27-71EA2734D3E3}"/>
    <hyperlink ref="D116" r:id="rId115" xr:uid="{24015694-4132-4C3E-B931-69DD43584F3A}"/>
    <hyperlink ref="D117" r:id="rId116" xr:uid="{7219FC86-72BD-410C-9E05-D9F6BAB17F4B}"/>
    <hyperlink ref="D118" r:id="rId117" xr:uid="{AF6BCB80-67B7-4BAF-9A37-01508DBAB9A3}"/>
    <hyperlink ref="D119" r:id="rId118" xr:uid="{B34DE185-BD7A-4BC5-8F5E-03D541E17CDC}"/>
    <hyperlink ref="D120" r:id="rId119" xr:uid="{61BAACF4-D0D6-4ED4-B4EB-83A24D704B13}"/>
    <hyperlink ref="D121" r:id="rId120" xr:uid="{F9D0EB7B-995A-4438-9C56-292320DD21F3}"/>
    <hyperlink ref="D122" r:id="rId121" xr:uid="{7C594EF4-E0F0-4C76-8134-2693FDC39CDB}"/>
    <hyperlink ref="D123" r:id="rId122" xr:uid="{C542AE8B-31A8-414F-8D71-958B965A6FE5}"/>
    <hyperlink ref="D124" r:id="rId123" xr:uid="{2972CF8F-1BF5-486D-B423-CD3481AA0C9E}"/>
    <hyperlink ref="D125" r:id="rId124" xr:uid="{74E3F750-E524-4E94-83BE-21BECCACA0C1}"/>
    <hyperlink ref="D126" r:id="rId125" xr:uid="{2CD43CB3-9971-4A50-88C9-8E1C3A04EC58}"/>
    <hyperlink ref="D127" r:id="rId126" xr:uid="{F872A286-8178-4356-B9CB-A5BD3B20CFA1}"/>
    <hyperlink ref="D128" r:id="rId127" xr:uid="{FBB4EC2F-B8BF-4CF1-B604-19C1A178297A}"/>
    <hyperlink ref="D129" r:id="rId128" xr:uid="{2EDA1D99-4A2F-4E92-9F79-F3C26298382E}"/>
  </hyperlinks>
  <pageMargins left="0.7" right="0.7" top="0.75" bottom="0.75" header="0.3" footer="0.3"/>
  <pageSetup paperSize="9" orientation="portrait" r:id="rId12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9C04-ED4A-B140-B723-3FB745556183}">
  <sheetPr codeName="Sheet4"/>
  <dimension ref="A1:AO7"/>
  <sheetViews>
    <sheetView zoomScale="133" zoomScaleNormal="133" workbookViewId="0">
      <selection activeCell="A7" sqref="A7"/>
    </sheetView>
  </sheetViews>
  <sheetFormatPr defaultColWidth="10.83203125" defaultRowHeight="15.5"/>
  <cols>
    <col min="1" max="1" width="89.5" style="38" bestFit="1" customWidth="1"/>
    <col min="2" max="2" width="16" style="38" bestFit="1" customWidth="1"/>
    <col min="3" max="3" width="23.33203125" style="38" customWidth="1"/>
    <col min="4" max="4" width="13.08203125" style="38" customWidth="1"/>
    <col min="5" max="5" width="39.08203125" style="38" customWidth="1"/>
    <col min="6" max="6" width="13.33203125" style="38" bestFit="1" customWidth="1"/>
    <col min="7" max="7" width="14.83203125" style="38" bestFit="1" customWidth="1"/>
    <col min="8" max="8" width="18.83203125" style="38" bestFit="1" customWidth="1"/>
    <col min="9" max="9" width="20.33203125" style="38" bestFit="1" customWidth="1"/>
    <col min="10" max="10" width="28.33203125" style="38" customWidth="1"/>
    <col min="11" max="11" width="15.33203125" style="38" customWidth="1"/>
    <col min="12" max="12" width="18.33203125" style="38" bestFit="1" customWidth="1"/>
    <col min="13" max="13" width="33.58203125" style="38" bestFit="1" customWidth="1"/>
    <col min="14" max="14" width="19" style="38" bestFit="1" customWidth="1"/>
    <col min="15" max="15" width="25.33203125" style="38" bestFit="1" customWidth="1"/>
    <col min="16" max="16" width="37.08203125" style="38" bestFit="1" customWidth="1"/>
    <col min="17" max="17" width="21.58203125" style="38" bestFit="1" customWidth="1"/>
    <col min="18" max="18" width="20.08203125" style="38" bestFit="1" customWidth="1"/>
    <col min="19" max="19" width="28" style="38" bestFit="1" customWidth="1"/>
    <col min="20" max="20" width="19" style="38" bestFit="1" customWidth="1"/>
    <col min="21" max="21" width="32.33203125" style="38" bestFit="1" customWidth="1"/>
    <col min="22" max="22" width="37.08203125" style="38" bestFit="1" customWidth="1"/>
    <col min="23" max="23" width="21.58203125" style="38" bestFit="1" customWidth="1"/>
    <col min="24" max="24" width="26.58203125" style="38" customWidth="1"/>
    <col min="25" max="25" width="27.33203125" style="38" bestFit="1" customWidth="1"/>
    <col min="26" max="26" width="13" style="38" bestFit="1" customWidth="1"/>
    <col min="27" max="27" width="14.33203125" style="38" bestFit="1" customWidth="1"/>
    <col min="28" max="28" width="22.08203125" style="38" bestFit="1" customWidth="1"/>
    <col min="29" max="35" width="10.83203125" style="38"/>
    <col min="36" max="36" width="14.5" style="38" bestFit="1" customWidth="1"/>
    <col min="37" max="37" width="14.5" style="38" customWidth="1"/>
    <col min="38" max="38" width="10.83203125" style="38"/>
    <col min="39" max="39" width="25.33203125" style="38" bestFit="1" customWidth="1"/>
    <col min="40" max="40" width="37.08203125" style="38" bestFit="1" customWidth="1"/>
    <col min="41" max="41" width="21.58203125" style="38" bestFit="1" customWidth="1"/>
    <col min="42" max="16384" width="10.83203125" style="38"/>
  </cols>
  <sheetData>
    <row r="1" spans="1:41" ht="16" thickBot="1">
      <c r="A1" s="35" t="s">
        <v>118</v>
      </c>
      <c r="B1" s="36" t="s">
        <v>2</v>
      </c>
      <c r="C1" s="36" t="s">
        <v>24</v>
      </c>
      <c r="D1" s="36" t="s">
        <v>110</v>
      </c>
      <c r="E1" s="36" t="s">
        <v>122</v>
      </c>
      <c r="F1" s="36" t="s">
        <v>123</v>
      </c>
      <c r="G1" s="36" t="s">
        <v>101</v>
      </c>
      <c r="H1" s="36" t="s">
        <v>32</v>
      </c>
      <c r="I1" s="36" t="s">
        <v>140</v>
      </c>
      <c r="J1" s="36" t="s">
        <v>141</v>
      </c>
      <c r="K1" s="37" t="s">
        <v>211</v>
      </c>
      <c r="L1" s="36" t="s">
        <v>196</v>
      </c>
      <c r="M1" s="36" t="s">
        <v>146</v>
      </c>
      <c r="N1" s="36" t="s">
        <v>144</v>
      </c>
      <c r="O1" s="36" t="s">
        <v>150</v>
      </c>
      <c r="P1" s="36" t="s">
        <v>147</v>
      </c>
      <c r="Q1" s="36" t="s">
        <v>148</v>
      </c>
      <c r="R1" s="30" t="s">
        <v>149</v>
      </c>
      <c r="S1" s="36" t="s">
        <v>151</v>
      </c>
      <c r="T1" s="36" t="s">
        <v>5</v>
      </c>
      <c r="U1" s="36" t="s">
        <v>6</v>
      </c>
      <c r="V1" s="36" t="s">
        <v>7</v>
      </c>
      <c r="W1" s="36" t="s">
        <v>8</v>
      </c>
      <c r="X1" s="36" t="s">
        <v>10</v>
      </c>
      <c r="Y1" s="36" t="s">
        <v>56</v>
      </c>
      <c r="Z1" s="36" t="s">
        <v>59</v>
      </c>
      <c r="AA1" s="36" t="s">
        <v>11</v>
      </c>
      <c r="AB1" s="36" t="s">
        <v>12</v>
      </c>
      <c r="AC1" s="36" t="s">
        <v>13</v>
      </c>
      <c r="AD1" s="36" t="s">
        <v>40</v>
      </c>
      <c r="AE1" s="36" t="s">
        <v>153</v>
      </c>
      <c r="AF1" s="36" t="s">
        <v>154</v>
      </c>
      <c r="AG1" s="36" t="s">
        <v>155</v>
      </c>
      <c r="AH1" s="36" t="s">
        <v>156</v>
      </c>
      <c r="AI1" s="36" t="s">
        <v>157</v>
      </c>
      <c r="AJ1" s="36" t="s">
        <v>102</v>
      </c>
      <c r="AK1" s="36" t="s">
        <v>207</v>
      </c>
      <c r="AL1" s="36" t="s">
        <v>73</v>
      </c>
      <c r="AM1" s="20" t="s">
        <v>6</v>
      </c>
      <c r="AN1" s="20" t="s">
        <v>7</v>
      </c>
      <c r="AO1" s="20" t="s">
        <v>8</v>
      </c>
    </row>
    <row r="2" spans="1:41" ht="16.5" thickBot="1">
      <c r="A2" s="74" t="s">
        <v>345</v>
      </c>
      <c r="B2" s="38" t="str" cm="1">
        <f t="array" ref="B2">_xlfn.XLOOKUP($A2,DataColumnRange,_xlfn.XLOOKUP(B$1,dataRowRange,ActualDataRange))</f>
        <v>General Cargo</v>
      </c>
      <c r="C2" s="39" t="s">
        <v>192</v>
      </c>
      <c r="D2" s="40" t="s">
        <v>111</v>
      </c>
      <c r="E2" s="38" t="str" cm="1">
        <f t="array" ref="E2">_xlfn.XLOOKUP($A2,DataColumnRange,_xlfn.XLOOKUP(E$1,dataRowRange,ActualDataRange))</f>
        <v>sumit.choudhary@delta.com</v>
      </c>
      <c r="F2" s="38" t="str" cm="1">
        <f t="array" ref="F2">_xlfn.XLOOKUP($A2,DataColumnRange,_xlfn.XLOOKUP(F$1,dataRowRange,ActualDataRange))</f>
        <v>Delta2</v>
      </c>
      <c r="G2" s="38" t="b" cm="1">
        <f t="array" ref="G2">_xlfn.XLOOKUP($A2,DataColumnRange,_xlfn.XLOOKUP(G$1,dataRowRange,ActualDataRange))</f>
        <v>1</v>
      </c>
      <c r="H2" s="38" t="str" cm="1">
        <f t="array" ref="H2">_xlfn.XLOOKUP($A2,DataColumnRange,_xlfn.XLOOKUP(H$1,dataRowRange,ActualDataRange))</f>
        <v>NA</v>
      </c>
      <c r="I2" s="38" t="str" cm="1">
        <f t="array" ref="I2">_xlfn.XLOOKUP($A2,DataColumnRange,_xlfn.XLOOKUP(I$1,dataRowRange,ActualDataRange))</f>
        <v>ATL</v>
      </c>
      <c r="J2" s="38" t="str" cm="1">
        <f t="array" ref="J2">_xlfn.XLOOKUP($A2,DataColumnRange,_xlfn.XLOOKUP(J$1,dataRowRange,ActualDataRange))</f>
        <v>MSP</v>
      </c>
      <c r="K2" s="38" t="str" cm="1">
        <f t="array" ref="K2">_xlfn.XLOOKUP($A2,DataColumnRange,_xlfn.XLOOKUP(K$1,dataRowRange,ActualDataRange))</f>
        <v>Loose</v>
      </c>
      <c r="L2" s="38" t="str" cm="1">
        <f t="array" ref="L2">_xlfn.XLOOKUP($A2,DataColumnRange,_xlfn.XLOOKUP(L$1,dataRowRange,ActualDataRange))</f>
        <v>Test General Cargo</v>
      </c>
      <c r="M2" s="38" cm="1">
        <f t="array" ref="M2">_xlfn.XLOOKUP($A2,DataColumnRange,_xlfn.XLOOKUP(M$1,dataRowRange,ActualDataRange))</f>
        <v>30</v>
      </c>
      <c r="N2" s="38" t="str" cm="1">
        <f t="array" ref="N2">_xlfn.XLOOKUP($A2,DataColumnRange,_xlfn.XLOOKUP(N$1,dataRowRange,ActualDataRange))</f>
        <v>KG</v>
      </c>
      <c r="O2" s="38" cm="1">
        <f t="array" ref="O2">_xlfn.XLOOKUP($A2,DataColumnRange,_xlfn.XLOOKUP(O$1,dataRowRange,ActualDataRange))</f>
        <v>1</v>
      </c>
      <c r="P2" s="38" cm="1">
        <f t="array" ref="P2">_xlfn.XLOOKUP($A2,DataColumnRange,_xlfn.XLOOKUP(P$1,dataRowRange,ActualDataRange))</f>
        <v>10</v>
      </c>
      <c r="Q2" s="38" cm="1">
        <f t="array" ref="Q2">_xlfn.XLOOKUP($A2,DataColumnRange,_xlfn.XLOOKUP(Q$1,dataRowRange,ActualDataRange))</f>
        <v>10</v>
      </c>
      <c r="R2" s="38" cm="1">
        <f t="array" ref="R2">_xlfn.XLOOKUP($A2,DataColumnRange,_xlfn.XLOOKUP(R$1,dataRowRange,ActualDataRange))</f>
        <v>10</v>
      </c>
      <c r="S2" s="38" t="str" cm="1">
        <f t="array" ref="S2">_xlfn.XLOOKUP($A2,DataColumnRange,_xlfn.XLOOKUP(S$1,dataRowRange,ActualDataRange))</f>
        <v>IN</v>
      </c>
      <c r="T2" s="38" t="str" cm="1">
        <f t="array" ref="T2">_xlfn.XLOOKUP($A2,DataColumnRange,_xlfn.XLOOKUP(T$1,dataRowRange,ActualDataRange))</f>
        <v>Cubic Feet</v>
      </c>
      <c r="U2" s="38" t="str" cm="1">
        <f t="array" ref="U2">_xlfn.XLOOKUP($A2,DataColumnRange,_xlfn.XLOOKUP(U$1,dataRowRange,ActualDataRange))</f>
        <v>No</v>
      </c>
      <c r="V2" s="38" t="str" cm="1">
        <f t="array" ref="V2">_xlfn.XLOOKUP($A2,DataColumnRange,_xlfn.XLOOKUP(V$1,dataRowRange,ActualDataRange))</f>
        <v>No</v>
      </c>
      <c r="W2" s="38" t="str" cm="1">
        <f t="array" ref="W2">_xlfn.XLOOKUP($A2,DataColumnRange,_xlfn.XLOOKUP(W$1,dataRowRange,ActualDataRange))</f>
        <v>No</v>
      </c>
      <c r="X2" s="38" cm="1">
        <f t="array" ref="X2">_xlfn.XLOOKUP($A2,DataColumnRange,_xlfn.XLOOKUP(X$1,dataRowRange,ActualDataRange))</f>
        <v>2</v>
      </c>
      <c r="Y2" s="38" t="str" cm="1">
        <f t="array" ref="Y2">_xlfn.XLOOKUP($A2,DataColumnRange,_xlfn.XLOOKUP(Y$1,dataRowRange,ActualDataRange))</f>
        <v>No</v>
      </c>
      <c r="Z2" s="38" t="str" cm="1">
        <f t="array" ref="Z2">_xlfn.XLOOKUP($A2,DataColumnRange,_xlfn.XLOOKUP(Z$1,dataRowRange,ActualDataRange))</f>
        <v>NA</v>
      </c>
      <c r="AA2" s="38" t="str" cm="1">
        <f t="array" ref="AA2">_xlfn.XLOOKUP($A2,DataColumnRange,_xlfn.XLOOKUP(AA$1,dataRowRange,ActualDataRange))</f>
        <v>000260018</v>
      </c>
      <c r="AB2" s="38" t="str" cm="1">
        <f t="array" ref="AB2">_xlfn.XLOOKUP($A2,DataColumnRange,_xlfn.XLOOKUP(AB$1,dataRowRange,ActualDataRange))</f>
        <v>GeneralCargoTemplate</v>
      </c>
      <c r="AC2" s="38" t="str" cm="1">
        <f t="array" ref="AC2">_xlfn.XLOOKUP($A2,DataColumnRange,_xlfn.XLOOKUP(AC$1,dataRowRange,ActualDataRange))</f>
        <v>CreditCard</v>
      </c>
      <c r="AD2" s="38" t="str" cm="1">
        <f t="array" ref="AD2">_xlfn.XLOOKUP($A2,DataColumnRange,_xlfn.XLOOKUP(AD$1,dataRowRange,ActualDataRange))</f>
        <v>NA</v>
      </c>
      <c r="AE2" s="38" t="str" cm="1">
        <f t="array" ref="AE2">_xlfn.XLOOKUP($A2,DataColumnRange,_xlfn.XLOOKUP(AE$1,dataRowRange,ActualDataRange))</f>
        <v>Test1</v>
      </c>
      <c r="AF2" s="38" t="str" cm="1">
        <f t="array" ref="AF2">_xlfn.XLOOKUP($A2,DataColumnRange,_xlfn.XLOOKUP(AF$1,dataRowRange,ActualDataRange))</f>
        <v>Test2</v>
      </c>
      <c r="AG2" s="38" t="str" cm="1">
        <f t="array" ref="AG2">_xlfn.XLOOKUP($A2,DataColumnRange,_xlfn.XLOOKUP(AG$1,dataRowRange,ActualDataRange))</f>
        <v>Atlanta</v>
      </c>
      <c r="AH2" s="38" t="str" cm="1">
        <f t="array" ref="AH2">_xlfn.XLOOKUP($A2,DataColumnRange,_xlfn.XLOOKUP(AH$1,dataRowRange,ActualDataRange))</f>
        <v>Georgia</v>
      </c>
      <c r="AI2" s="38" cm="1">
        <f t="array" ref="AI2">_xlfn.XLOOKUP($A2,DataColumnRange,_xlfn.XLOOKUP(AI$1,dataRowRange,ActualDataRange))</f>
        <v>55055</v>
      </c>
      <c r="AJ2" s="38" t="str" cm="1">
        <f t="array" ref="AJ2">_xlfn.XLOOKUP($A2,DataColumnRange,_xlfn.XLOOKUP(AJ$1,dataRowRange,ActualDataRange))</f>
        <v>000075010</v>
      </c>
      <c r="AK2" s="38" t="str" cm="1">
        <f t="array" ref="AK2">_xlfn.XLOOKUP($A2,DataColumnRange,_xlfn.XLOOKUP(AK$1,dataRowRange,ActualDataRange))</f>
        <v>Domestic</v>
      </c>
      <c r="AL2" s="38" cm="1">
        <f t="array" ref="AL2">_xlfn.XLOOKUP($A2,DataColumnRange,_xlfn.XLOOKUP(AL$1,dataRowRange,ActualDataRange))</f>
        <v>0</v>
      </c>
      <c r="AM2" s="38" t="str" cm="1">
        <f t="array" ref="AM2">_xlfn.XLOOKUP($A2,DataColumnRange,_xlfn.XLOOKUP(AM$1,dataRowRange,ActualDataRange))</f>
        <v>No</v>
      </c>
      <c r="AN2" s="38" t="str" cm="1">
        <f t="array" ref="AN2">_xlfn.XLOOKUP($A2,DataColumnRange,_xlfn.XLOOKUP(AN$1,dataRowRange,ActualDataRange))</f>
        <v>No</v>
      </c>
      <c r="AO2" s="38" t="str" cm="1">
        <f t="array" ref="AO2">_xlfn.XLOOKUP($A2,DataColumnRange,_xlfn.XLOOKUP(AO$1,dataRowRange,ActualDataRange))</f>
        <v>No</v>
      </c>
    </row>
    <row r="3" spans="1:41" ht="16.5" thickBot="1">
      <c r="A3" s="75" t="s">
        <v>346</v>
      </c>
      <c r="B3" s="38" t="str" cm="1">
        <f t="array" ref="B3">_xlfn.XLOOKUP($A3,DataColumnRange,_xlfn.XLOOKUP(B$1,dataRowRange,ActualDataRange))</f>
        <v>General Cargo</v>
      </c>
      <c r="C3" s="39" t="s">
        <v>113</v>
      </c>
      <c r="D3" s="40" t="s">
        <v>111</v>
      </c>
      <c r="E3" s="38" t="str" cm="1">
        <f t="array" ref="E3">_xlfn.XLOOKUP($A3,DataColumnRange,_xlfn.XLOOKUP(E$1,dataRowRange,ActualDataRange))</f>
        <v>sumit.choudhary@delta.com</v>
      </c>
      <c r="F3" s="38" t="str" cm="1">
        <f t="array" ref="F3">_xlfn.XLOOKUP($A3,DataColumnRange,_xlfn.XLOOKUP(F$1,dataRowRange,ActualDataRange))</f>
        <v>Delta2</v>
      </c>
      <c r="G3" s="38" t="b" cm="1">
        <f t="array" ref="G3">_xlfn.XLOOKUP($A3,DataColumnRange,_xlfn.XLOOKUP(G$1,dataRowRange,ActualDataRange))</f>
        <v>1</v>
      </c>
      <c r="H3" s="38" t="str" cm="1">
        <f t="array" ref="H3">_xlfn.XLOOKUP($A3,DataColumnRange,_xlfn.XLOOKUP(H$1,dataRowRange,ActualDataRange))</f>
        <v>NA</v>
      </c>
      <c r="I3" s="38" t="str" cm="1">
        <f t="array" ref="I3">_xlfn.XLOOKUP($A3,DataColumnRange,_xlfn.XLOOKUP(I$1,dataRowRange,ActualDataRange))</f>
        <v>JFK</v>
      </c>
      <c r="J3" s="38" t="str" cm="1">
        <f t="array" ref="J3">_xlfn.XLOOKUP($A3,DataColumnRange,_xlfn.XLOOKUP(J$1,dataRowRange,ActualDataRange))</f>
        <v>ATL</v>
      </c>
      <c r="K3" s="38" t="str" cm="1">
        <f t="array" ref="K3">_xlfn.XLOOKUP($A3,DataColumnRange,_xlfn.XLOOKUP(K$1,dataRowRange,ActualDataRange))</f>
        <v>Loose</v>
      </c>
      <c r="L3" s="38" t="str" cm="1">
        <f t="array" ref="L3">_xlfn.XLOOKUP($A3,DataColumnRange,_xlfn.XLOOKUP(L$1,dataRowRange,ActualDataRange))</f>
        <v>Test General Cargo</v>
      </c>
      <c r="M3" s="38" cm="1">
        <f t="array" ref="M3">_xlfn.XLOOKUP($A3,DataColumnRange,_xlfn.XLOOKUP(M$1,dataRowRange,ActualDataRange))</f>
        <v>90</v>
      </c>
      <c r="N3" s="38" t="str" cm="1">
        <f t="array" ref="N3">_xlfn.XLOOKUP($A3,DataColumnRange,_xlfn.XLOOKUP(N$1,dataRowRange,ActualDataRange))</f>
        <v>KG</v>
      </c>
      <c r="O3" s="38" cm="1">
        <f t="array" ref="O3">_xlfn.XLOOKUP($A3,DataColumnRange,_xlfn.XLOOKUP(O$1,dataRowRange,ActualDataRange))</f>
        <v>1</v>
      </c>
      <c r="P3" s="38" cm="1">
        <f t="array" ref="P3">_xlfn.XLOOKUP($A3,DataColumnRange,_xlfn.XLOOKUP(P$1,dataRowRange,ActualDataRange))</f>
        <v>10</v>
      </c>
      <c r="Q3" s="38" cm="1">
        <f t="array" ref="Q3">_xlfn.XLOOKUP($A3,DataColumnRange,_xlfn.XLOOKUP(Q$1,dataRowRange,ActualDataRange))</f>
        <v>10</v>
      </c>
      <c r="R3" s="38" cm="1">
        <f t="array" ref="R3">_xlfn.XLOOKUP($A3,DataColumnRange,_xlfn.XLOOKUP(R$1,dataRowRange,ActualDataRange))</f>
        <v>10</v>
      </c>
      <c r="S3" s="38" t="str" cm="1">
        <f t="array" ref="S3">_xlfn.XLOOKUP($A3,DataColumnRange,_xlfn.XLOOKUP(S$1,dataRowRange,ActualDataRange))</f>
        <v>IN</v>
      </c>
      <c r="T3" s="38" t="str" cm="1">
        <f t="array" ref="T3">_xlfn.XLOOKUP($A3,DataColumnRange,_xlfn.XLOOKUP(T$1,dataRowRange,ActualDataRange))</f>
        <v>Cubic Feet</v>
      </c>
      <c r="U3" s="38" t="str" cm="1">
        <f t="array" ref="U3">_xlfn.XLOOKUP($A3,DataColumnRange,_xlfn.XLOOKUP(U$1,dataRowRange,ActualDataRange))</f>
        <v>No</v>
      </c>
      <c r="V3" s="38" t="str" cm="1">
        <f t="array" ref="V3">_xlfn.XLOOKUP($A3,DataColumnRange,_xlfn.XLOOKUP(V$1,dataRowRange,ActualDataRange))</f>
        <v>No</v>
      </c>
      <c r="W3" s="38" t="str" cm="1">
        <f t="array" ref="W3">_xlfn.XLOOKUP($A3,DataColumnRange,_xlfn.XLOOKUP(W$1,dataRowRange,ActualDataRange))</f>
        <v>No</v>
      </c>
      <c r="X3" s="38" cm="1">
        <f t="array" ref="X3">_xlfn.XLOOKUP($A3,DataColumnRange,_xlfn.XLOOKUP(X$1,dataRowRange,ActualDataRange))</f>
        <v>2</v>
      </c>
      <c r="Y3" s="38" t="str" cm="1">
        <f t="array" ref="Y3">_xlfn.XLOOKUP($A3,DataColumnRange,_xlfn.XLOOKUP(Y$1,dataRowRange,ActualDataRange))</f>
        <v>No</v>
      </c>
      <c r="Z3" s="38" t="str" cm="1">
        <f t="array" ref="Z3">_xlfn.XLOOKUP($A3,DataColumnRange,_xlfn.XLOOKUP(Z$1,dataRowRange,ActualDataRange))</f>
        <v>NA</v>
      </c>
      <c r="AA3" s="38" t="str" cm="1">
        <f t="array" ref="AA3">_xlfn.XLOOKUP($A3,DataColumnRange,_xlfn.XLOOKUP(AA$1,dataRowRange,ActualDataRange))</f>
        <v>000260018</v>
      </c>
      <c r="AB3" s="38" t="str" cm="1">
        <f t="array" ref="AB3">_xlfn.XLOOKUP($A3,DataColumnRange,_xlfn.XLOOKUP(AB$1,dataRowRange,ActualDataRange))</f>
        <v>GeneralCargoTemplate</v>
      </c>
      <c r="AC3" s="38" t="str" cm="1">
        <f t="array" ref="AC3">_xlfn.XLOOKUP($A3,DataColumnRange,_xlfn.XLOOKUP(AC$1,dataRowRange,ActualDataRange))</f>
        <v>CreditCard</v>
      </c>
      <c r="AD3" s="38" t="str" cm="1">
        <f t="array" ref="AD3">_xlfn.XLOOKUP($A3,DataColumnRange,_xlfn.XLOOKUP(AD$1,dataRowRange,ActualDataRange))</f>
        <v>NA</v>
      </c>
      <c r="AE3" s="38" t="str" cm="1">
        <f t="array" ref="AE3">_xlfn.XLOOKUP($A3,DataColumnRange,_xlfn.XLOOKUP(AE$1,dataRowRange,ActualDataRange))</f>
        <v>Test1</v>
      </c>
      <c r="AF3" s="38" t="str" cm="1">
        <f t="array" ref="AF3">_xlfn.XLOOKUP($A3,DataColumnRange,_xlfn.XLOOKUP(AF$1,dataRowRange,ActualDataRange))</f>
        <v>Test2</v>
      </c>
      <c r="AG3" s="38" t="str" cm="1">
        <f t="array" ref="AG3">_xlfn.XLOOKUP($A3,DataColumnRange,_xlfn.XLOOKUP(AG$1,dataRowRange,ActualDataRange))</f>
        <v>Atlanta</v>
      </c>
      <c r="AH3" s="38" t="str" cm="1">
        <f t="array" ref="AH3">_xlfn.XLOOKUP($A3,DataColumnRange,_xlfn.XLOOKUP(AH$1,dataRowRange,ActualDataRange))</f>
        <v>Georgia</v>
      </c>
      <c r="AI3" s="38" cm="1">
        <f t="array" ref="AI3">_xlfn.XLOOKUP($A3,DataColumnRange,_xlfn.XLOOKUP(AI$1,dataRowRange,ActualDataRange))</f>
        <v>55055</v>
      </c>
      <c r="AJ3" s="38" t="str" cm="1">
        <f t="array" ref="AJ3">_xlfn.XLOOKUP($A3,DataColumnRange,_xlfn.XLOOKUP(AJ$1,dataRowRange,ActualDataRange))</f>
        <v>000075010</v>
      </c>
      <c r="AK3" s="38" t="str" cm="1">
        <f t="array" ref="AK3">_xlfn.XLOOKUP($A3,DataColumnRange,_xlfn.XLOOKUP(AK$1,dataRowRange,ActualDataRange))</f>
        <v>Domestic</v>
      </c>
      <c r="AL3" s="38" cm="1">
        <f t="array" ref="AL3">_xlfn.XLOOKUP($A3,DataColumnRange,_xlfn.XLOOKUP(AL$1,dataRowRange,ActualDataRange))</f>
        <v>0</v>
      </c>
      <c r="AM3" s="38" t="str" cm="1">
        <f t="array" ref="AM3">_xlfn.XLOOKUP($A3,DataColumnRange,_xlfn.XLOOKUP(AM$1,dataRowRange,ActualDataRange))</f>
        <v>No</v>
      </c>
      <c r="AN3" s="38" t="str" cm="1">
        <f t="array" ref="AN3">_xlfn.XLOOKUP($A3,DataColumnRange,_xlfn.XLOOKUP(AN$1,dataRowRange,ActualDataRange))</f>
        <v>No</v>
      </c>
      <c r="AO3" s="38" t="str" cm="1">
        <f t="array" ref="AO3">_xlfn.XLOOKUP($A3,DataColumnRange,_xlfn.XLOOKUP(AO$1,dataRowRange,ActualDataRange))</f>
        <v>No</v>
      </c>
    </row>
    <row r="4" spans="1:41" ht="16.5" thickBot="1">
      <c r="A4" s="75" t="s">
        <v>347</v>
      </c>
      <c r="B4" s="38" t="str" cm="1">
        <f t="array" ref="B4">_xlfn.XLOOKUP($A4,DataColumnRange,_xlfn.XLOOKUP(B$1,dataRowRange,ActualDataRange))</f>
        <v>General Cargo</v>
      </c>
      <c r="C4" s="39" t="s">
        <v>163</v>
      </c>
      <c r="D4" s="40" t="str">
        <f>IF(TestCaseConfig!$B$2="Yes","Yes","No")</f>
        <v>Yes</v>
      </c>
      <c r="E4" s="38" t="str" cm="1">
        <f t="array" ref="E4">_xlfn.XLOOKUP($A4,DataColumnRange,_xlfn.XLOOKUP(E$1,dataRowRange,ActualDataRange))</f>
        <v>sumit.choudhary@delta.com</v>
      </c>
      <c r="F4" s="38" t="str" cm="1">
        <f t="array" ref="F4">_xlfn.XLOOKUP($A4,DataColumnRange,_xlfn.XLOOKUP(F$1,dataRowRange,ActualDataRange))</f>
        <v>Delta2</v>
      </c>
      <c r="G4" s="38" t="b" cm="1">
        <f t="array" ref="G4">_xlfn.XLOOKUP($A4,DataColumnRange,_xlfn.XLOOKUP(G$1,dataRowRange,ActualDataRange))</f>
        <v>1</v>
      </c>
      <c r="H4" s="38" t="str" cm="1">
        <f t="array" ref="H4">_xlfn.XLOOKUP($A4,DataColumnRange,_xlfn.XLOOKUP(H$1,dataRowRange,ActualDataRange))</f>
        <v>NA</v>
      </c>
      <c r="I4" s="38" t="str" cm="1">
        <f t="array" ref="I4">_xlfn.XLOOKUP($A4,DataColumnRange,_xlfn.XLOOKUP(I$1,dataRowRange,ActualDataRange))</f>
        <v>JFK</v>
      </c>
      <c r="J4" s="38" t="str" cm="1">
        <f t="array" ref="J4">_xlfn.XLOOKUP($A4,DataColumnRange,_xlfn.XLOOKUP(J$1,dataRowRange,ActualDataRange))</f>
        <v>DTW</v>
      </c>
      <c r="K4" s="38" t="str" cm="1">
        <f t="array" ref="K4">_xlfn.XLOOKUP($A4,DataColumnRange,_xlfn.XLOOKUP(K$1,dataRowRange,ActualDataRange))</f>
        <v>Loose</v>
      </c>
      <c r="L4" s="38" t="str" cm="1">
        <f t="array" ref="L4">_xlfn.XLOOKUP($A4,DataColumnRange,_xlfn.XLOOKUP(L$1,dataRowRange,ActualDataRange))</f>
        <v>Test General Cargo</v>
      </c>
      <c r="M4" s="38" cm="1">
        <f t="array" ref="M4">_xlfn.XLOOKUP($A4,DataColumnRange,_xlfn.XLOOKUP(M$1,dataRowRange,ActualDataRange))</f>
        <v>10</v>
      </c>
      <c r="N4" s="38" t="str" cm="1">
        <f t="array" ref="N4">_xlfn.XLOOKUP($A4,DataColumnRange,_xlfn.XLOOKUP(N$1,dataRowRange,ActualDataRange))</f>
        <v>KG</v>
      </c>
      <c r="O4" s="38" cm="1">
        <f t="array" ref="O4">_xlfn.XLOOKUP($A4,DataColumnRange,_xlfn.XLOOKUP(O$1,dataRowRange,ActualDataRange))</f>
        <v>1</v>
      </c>
      <c r="P4" s="38" cm="1">
        <f t="array" ref="P4">_xlfn.XLOOKUP($A4,DataColumnRange,_xlfn.XLOOKUP(P$1,dataRowRange,ActualDataRange))</f>
        <v>10</v>
      </c>
      <c r="Q4" s="38" cm="1">
        <f t="array" ref="Q4">_xlfn.XLOOKUP($A4,DataColumnRange,_xlfn.XLOOKUP(Q$1,dataRowRange,ActualDataRange))</f>
        <v>10</v>
      </c>
      <c r="R4" s="38" cm="1">
        <f t="array" ref="R4">_xlfn.XLOOKUP($A4,DataColumnRange,_xlfn.XLOOKUP(R$1,dataRowRange,ActualDataRange))</f>
        <v>10</v>
      </c>
      <c r="S4" s="38" t="str" cm="1">
        <f t="array" ref="S4">_xlfn.XLOOKUP($A4,DataColumnRange,_xlfn.XLOOKUP(S$1,dataRowRange,ActualDataRange))</f>
        <v>IN</v>
      </c>
      <c r="T4" s="38" t="str" cm="1">
        <f t="array" ref="T4">_xlfn.XLOOKUP($A4,DataColumnRange,_xlfn.XLOOKUP(T$1,dataRowRange,ActualDataRange))</f>
        <v>Cubic Feet</v>
      </c>
      <c r="U4" s="38" t="str" cm="1">
        <f t="array" ref="U4">_xlfn.XLOOKUP($A4,DataColumnRange,_xlfn.XLOOKUP(U$1,dataRowRange,ActualDataRange))</f>
        <v>No</v>
      </c>
      <c r="V4" s="38" t="str" cm="1">
        <f t="array" ref="V4">_xlfn.XLOOKUP($A4,DataColumnRange,_xlfn.XLOOKUP(V$1,dataRowRange,ActualDataRange))</f>
        <v>No</v>
      </c>
      <c r="W4" s="38" t="str" cm="1">
        <f t="array" ref="W4">_xlfn.XLOOKUP($A4,DataColumnRange,_xlfn.XLOOKUP(W$1,dataRowRange,ActualDataRange))</f>
        <v>No</v>
      </c>
      <c r="X4" s="38" cm="1">
        <f t="array" ref="X4">_xlfn.XLOOKUP($A4,DataColumnRange,_xlfn.XLOOKUP(X$1,dataRowRange,ActualDataRange))</f>
        <v>2</v>
      </c>
      <c r="Y4" s="38" t="str" cm="1">
        <f t="array" ref="Y4">_xlfn.XLOOKUP($A4,DataColumnRange,_xlfn.XLOOKUP(Y$1,dataRowRange,ActualDataRange))</f>
        <v>No</v>
      </c>
      <c r="Z4" s="38" t="str" cm="1">
        <f t="array" ref="Z4">_xlfn.XLOOKUP($A4,DataColumnRange,_xlfn.XLOOKUP(Z$1,dataRowRange,ActualDataRange))</f>
        <v>NA</v>
      </c>
      <c r="AA4" s="38" t="str" cm="1">
        <f t="array" ref="AA4">_xlfn.XLOOKUP($A4,DataColumnRange,_xlfn.XLOOKUP(AA$1,dataRowRange,ActualDataRange))</f>
        <v>000260018</v>
      </c>
      <c r="AB4" s="38" t="str" cm="1">
        <f t="array" ref="AB4">_xlfn.XLOOKUP($A4,DataColumnRange,_xlfn.XLOOKUP(AB$1,dataRowRange,ActualDataRange))</f>
        <v>GeneralCargoTemplate</v>
      </c>
      <c r="AC4" s="38" t="str" cm="1">
        <f t="array" ref="AC4">_xlfn.XLOOKUP($A4,DataColumnRange,_xlfn.XLOOKUP(AC$1,dataRowRange,ActualDataRange))</f>
        <v>CreditCard</v>
      </c>
      <c r="AD4" s="38" t="str" cm="1">
        <f t="array" ref="AD4">_xlfn.XLOOKUP($A4,DataColumnRange,_xlfn.XLOOKUP(AD$1,dataRowRange,ActualDataRange))</f>
        <v>NA</v>
      </c>
      <c r="AE4" s="38" t="str" cm="1">
        <f t="array" ref="AE4">_xlfn.XLOOKUP($A4,DataColumnRange,_xlfn.XLOOKUP(AE$1,dataRowRange,ActualDataRange))</f>
        <v>Test1</v>
      </c>
      <c r="AF4" s="38" t="str" cm="1">
        <f t="array" ref="AF4">_xlfn.XLOOKUP($A4,DataColumnRange,_xlfn.XLOOKUP(AF$1,dataRowRange,ActualDataRange))</f>
        <v>Test2</v>
      </c>
      <c r="AG4" s="38" t="str" cm="1">
        <f t="array" ref="AG4">_xlfn.XLOOKUP($A4,DataColumnRange,_xlfn.XLOOKUP(AG$1,dataRowRange,ActualDataRange))</f>
        <v>Atlanta</v>
      </c>
      <c r="AH4" s="38" t="str" cm="1">
        <f t="array" ref="AH4">_xlfn.XLOOKUP($A4,DataColumnRange,_xlfn.XLOOKUP(AH$1,dataRowRange,ActualDataRange))</f>
        <v>Georgia</v>
      </c>
      <c r="AI4" s="38" cm="1">
        <f t="array" ref="AI4">_xlfn.XLOOKUP($A4,DataColumnRange,_xlfn.XLOOKUP(AI$1,dataRowRange,ActualDataRange))</f>
        <v>55055</v>
      </c>
      <c r="AJ4" s="38" t="str" cm="1">
        <f t="array" ref="AJ4">_xlfn.XLOOKUP($A4,DataColumnRange,_xlfn.XLOOKUP(AJ$1,dataRowRange,ActualDataRange))</f>
        <v>000075010</v>
      </c>
      <c r="AK4" s="38" t="str" cm="1">
        <f t="array" ref="AK4">_xlfn.XLOOKUP($A4,DataColumnRange,_xlfn.XLOOKUP(AK$1,dataRowRange,ActualDataRange))</f>
        <v>Domestic</v>
      </c>
      <c r="AL4" s="38" cm="1">
        <f t="array" ref="AL4">_xlfn.XLOOKUP($A4,DataColumnRange,_xlfn.XLOOKUP(AL$1,dataRowRange,ActualDataRange))</f>
        <v>0</v>
      </c>
      <c r="AM4" s="38" t="str" cm="1">
        <f t="array" ref="AM4">_xlfn.XLOOKUP($A4,DataColumnRange,_xlfn.XLOOKUP(AM$1,dataRowRange,ActualDataRange))</f>
        <v>No</v>
      </c>
      <c r="AN4" s="38" t="str" cm="1">
        <f t="array" ref="AN4">_xlfn.XLOOKUP($A4,DataColumnRange,_xlfn.XLOOKUP(AN$1,dataRowRange,ActualDataRange))</f>
        <v>No</v>
      </c>
      <c r="AO4" s="38" t="str" cm="1">
        <f t="array" ref="AO4">_xlfn.XLOOKUP($A4,DataColumnRange,_xlfn.XLOOKUP(AO$1,dataRowRange,ActualDataRange))</f>
        <v>No</v>
      </c>
    </row>
    <row r="5" spans="1:41" ht="16.5" thickBot="1">
      <c r="A5" s="75" t="s">
        <v>348</v>
      </c>
      <c r="B5" s="38" t="str" cm="1">
        <f t="array" ref="B5">_xlfn.XLOOKUP($A5,DataColumnRange,_xlfn.XLOOKUP(B$1,dataRowRange,ActualDataRange))</f>
        <v>General Cargo</v>
      </c>
      <c r="C5" s="39" t="s">
        <v>213</v>
      </c>
      <c r="D5" s="40" t="str">
        <f>IF(TestCaseConfig!$B$2="Yes","Yes","No")</f>
        <v>Yes</v>
      </c>
      <c r="E5" s="38" t="str" cm="1">
        <f t="array" ref="E5">_xlfn.XLOOKUP($A5,DataColumnRange,_xlfn.XLOOKUP(E$1,dataRowRange,ActualDataRange))</f>
        <v>sumit.choudhary@delta.com</v>
      </c>
      <c r="F5" s="38" t="str" cm="1">
        <f t="array" ref="F5">_xlfn.XLOOKUP($A5,DataColumnRange,_xlfn.XLOOKUP(F$1,dataRowRange,ActualDataRange))</f>
        <v>Delta2</v>
      </c>
      <c r="G5" s="38" t="b" cm="1">
        <f t="array" ref="G5">_xlfn.XLOOKUP($A5,DataColumnRange,_xlfn.XLOOKUP(G$1,dataRowRange,ActualDataRange))</f>
        <v>1</v>
      </c>
      <c r="H5" s="38" t="str" cm="1">
        <f t="array" ref="H5">_xlfn.XLOOKUP($A5,DataColumnRange,_xlfn.XLOOKUP(H$1,dataRowRange,ActualDataRange))</f>
        <v>NA</v>
      </c>
      <c r="I5" s="38" t="str" cm="1">
        <f t="array" ref="I5">_xlfn.XLOOKUP($A5,DataColumnRange,_xlfn.XLOOKUP(I$1,dataRowRange,ActualDataRange))</f>
        <v>ATL</v>
      </c>
      <c r="J5" s="38" t="str" cm="1">
        <f t="array" ref="J5">_xlfn.XLOOKUP($A5,DataColumnRange,_xlfn.XLOOKUP(J$1,dataRowRange,ActualDataRange))</f>
        <v>MSP</v>
      </c>
      <c r="K5" s="38" t="str" cm="1">
        <f t="array" ref="K5">_xlfn.XLOOKUP($A5,DataColumnRange,_xlfn.XLOOKUP(K$1,dataRowRange,ActualDataRange))</f>
        <v>Loose</v>
      </c>
      <c r="L5" s="38" t="str" cm="1">
        <f t="array" ref="L5">_xlfn.XLOOKUP($A5,DataColumnRange,_xlfn.XLOOKUP(L$1,dataRowRange,ActualDataRange))</f>
        <v>Test General Cargo</v>
      </c>
      <c r="M5" s="38" cm="1">
        <f t="array" ref="M5">_xlfn.XLOOKUP($A5,DataColumnRange,_xlfn.XLOOKUP(M$1,dataRowRange,ActualDataRange))</f>
        <v>30</v>
      </c>
      <c r="N5" s="38" t="str" cm="1">
        <f t="array" ref="N5">_xlfn.XLOOKUP($A5,DataColumnRange,_xlfn.XLOOKUP(N$1,dataRowRange,ActualDataRange))</f>
        <v>KG</v>
      </c>
      <c r="O5" s="38" cm="1">
        <f t="array" ref="O5">_xlfn.XLOOKUP($A5,DataColumnRange,_xlfn.XLOOKUP(O$1,dataRowRange,ActualDataRange))</f>
        <v>1</v>
      </c>
      <c r="P5" s="38" cm="1">
        <f t="array" ref="P5">_xlfn.XLOOKUP($A5,DataColumnRange,_xlfn.XLOOKUP(P$1,dataRowRange,ActualDataRange))</f>
        <v>10</v>
      </c>
      <c r="Q5" s="38" cm="1">
        <f t="array" ref="Q5">_xlfn.XLOOKUP($A5,DataColumnRange,_xlfn.XLOOKUP(Q$1,dataRowRange,ActualDataRange))</f>
        <v>10</v>
      </c>
      <c r="R5" s="38" cm="1">
        <f t="array" ref="R5">_xlfn.XLOOKUP($A5,DataColumnRange,_xlfn.XLOOKUP(R$1,dataRowRange,ActualDataRange))</f>
        <v>10</v>
      </c>
      <c r="S5" s="38" t="str" cm="1">
        <f t="array" ref="S5">_xlfn.XLOOKUP($A5,DataColumnRange,_xlfn.XLOOKUP(S$1,dataRowRange,ActualDataRange))</f>
        <v>IN</v>
      </c>
      <c r="T5" s="38" t="str" cm="1">
        <f t="array" ref="T5">_xlfn.XLOOKUP($A5,DataColumnRange,_xlfn.XLOOKUP(T$1,dataRowRange,ActualDataRange))</f>
        <v>Cubic Feet</v>
      </c>
      <c r="U5" s="38" t="str" cm="1">
        <f t="array" ref="U5">_xlfn.XLOOKUP($A5,DataColumnRange,_xlfn.XLOOKUP(U$1,dataRowRange,ActualDataRange))</f>
        <v>No</v>
      </c>
      <c r="V5" s="38" t="str" cm="1">
        <f t="array" ref="V5">_xlfn.XLOOKUP($A5,DataColumnRange,_xlfn.XLOOKUP(V$1,dataRowRange,ActualDataRange))</f>
        <v>No</v>
      </c>
      <c r="W5" s="38" t="str" cm="1">
        <f t="array" ref="W5">_xlfn.XLOOKUP($A5,DataColumnRange,_xlfn.XLOOKUP(W$1,dataRowRange,ActualDataRange))</f>
        <v>No</v>
      </c>
      <c r="X5" s="38" cm="1">
        <f t="array" ref="X5">_xlfn.XLOOKUP($A5,DataColumnRange,_xlfn.XLOOKUP(X$1,dataRowRange,ActualDataRange))</f>
        <v>2</v>
      </c>
      <c r="Y5" s="38" t="str" cm="1">
        <f t="array" ref="Y5">_xlfn.XLOOKUP($A5,DataColumnRange,_xlfn.XLOOKUP(Y$1,dataRowRange,ActualDataRange))</f>
        <v>No</v>
      </c>
      <c r="Z5" s="38" t="str" cm="1">
        <f t="array" ref="Z5">_xlfn.XLOOKUP($A5,DataColumnRange,_xlfn.XLOOKUP(Z$1,dataRowRange,ActualDataRange))</f>
        <v>NA</v>
      </c>
      <c r="AA5" s="38" t="str" cm="1">
        <f t="array" ref="AA5">_xlfn.XLOOKUP($A5,DataColumnRange,_xlfn.XLOOKUP(AA$1,dataRowRange,ActualDataRange))</f>
        <v>000260018</v>
      </c>
      <c r="AB5" s="38" t="str" cm="1">
        <f t="array" ref="AB5">_xlfn.XLOOKUP($A5,DataColumnRange,_xlfn.XLOOKUP(AB$1,dataRowRange,ActualDataRange))</f>
        <v>GeneralCargoTemplate</v>
      </c>
      <c r="AC5" s="38" t="str" cm="1">
        <f t="array" ref="AC5">_xlfn.XLOOKUP($A5,DataColumnRange,_xlfn.XLOOKUP(AC$1,dataRowRange,ActualDataRange))</f>
        <v>CreditCard</v>
      </c>
      <c r="AD5" s="38" t="str" cm="1">
        <f t="array" ref="AD5">_xlfn.XLOOKUP($A5,DataColumnRange,_xlfn.XLOOKUP(AD$1,dataRowRange,ActualDataRange))</f>
        <v>NA</v>
      </c>
      <c r="AE5" s="38" t="str" cm="1">
        <f t="array" ref="AE5">_xlfn.XLOOKUP($A5,DataColumnRange,_xlfn.XLOOKUP(AE$1,dataRowRange,ActualDataRange))</f>
        <v>Test1</v>
      </c>
      <c r="AF5" s="38" t="str" cm="1">
        <f t="array" ref="AF5">_xlfn.XLOOKUP($A5,DataColumnRange,_xlfn.XLOOKUP(AF$1,dataRowRange,ActualDataRange))</f>
        <v>Test2</v>
      </c>
      <c r="AG5" s="38" t="str" cm="1">
        <f t="array" ref="AG5">_xlfn.XLOOKUP($A5,DataColumnRange,_xlfn.XLOOKUP(AG$1,dataRowRange,ActualDataRange))</f>
        <v>Atlanta</v>
      </c>
      <c r="AH5" s="38" t="str" cm="1">
        <f t="array" ref="AH5">_xlfn.XLOOKUP($A5,DataColumnRange,_xlfn.XLOOKUP(AH$1,dataRowRange,ActualDataRange))</f>
        <v>Georgia</v>
      </c>
      <c r="AI5" s="38" cm="1">
        <f t="array" ref="AI5">_xlfn.XLOOKUP($A5,DataColumnRange,_xlfn.XLOOKUP(AI$1,dataRowRange,ActualDataRange))</f>
        <v>55055</v>
      </c>
      <c r="AJ5" s="38" t="str" cm="1">
        <f t="array" ref="AJ5">_xlfn.XLOOKUP($A5,DataColumnRange,_xlfn.XLOOKUP(AJ$1,dataRowRange,ActualDataRange))</f>
        <v>171276181</v>
      </c>
      <c r="AK5" s="38" t="str" cm="1">
        <f t="array" ref="AK5">_xlfn.XLOOKUP($A5,DataColumnRange,_xlfn.XLOOKUP(AK$1,dataRowRange,ActualDataRange))</f>
        <v>International</v>
      </c>
      <c r="AL5" s="38" cm="1">
        <f t="array" ref="AL5">_xlfn.XLOOKUP($A5,DataColumnRange,_xlfn.XLOOKUP(AL$1,dataRowRange,ActualDataRange))</f>
        <v>0</v>
      </c>
      <c r="AM5" s="38" t="str" cm="1">
        <f t="array" ref="AM5">_xlfn.XLOOKUP($A5,DataColumnRange,_xlfn.XLOOKUP(AM$1,dataRowRange,ActualDataRange))</f>
        <v>No</v>
      </c>
      <c r="AN5" s="38" t="str" cm="1">
        <f t="array" ref="AN5">_xlfn.XLOOKUP($A5,DataColumnRange,_xlfn.XLOOKUP(AN$1,dataRowRange,ActualDataRange))</f>
        <v>No</v>
      </c>
      <c r="AO5" s="38" t="str" cm="1">
        <f t="array" ref="AO5">_xlfn.XLOOKUP($A5,DataColumnRange,_xlfn.XLOOKUP(AO$1,dataRowRange,ActualDataRange))</f>
        <v>No</v>
      </c>
    </row>
    <row r="6" spans="1:41" ht="16.5" thickBot="1">
      <c r="A6" s="75" t="s">
        <v>349</v>
      </c>
      <c r="B6" s="38" t="str" cm="1">
        <f t="array" ref="B6">_xlfn.XLOOKUP($A6,DataColumnRange,_xlfn.XLOOKUP(B$1,dataRowRange,ActualDataRange))</f>
        <v>General Cargo</v>
      </c>
      <c r="C6" s="39" t="s">
        <v>214</v>
      </c>
      <c r="D6" s="40" t="str">
        <f>IF(TestCaseConfig!$B$2="Yes","Yes","No")</f>
        <v>Yes</v>
      </c>
      <c r="E6" s="38" t="str" cm="1">
        <f t="array" ref="E6">_xlfn.XLOOKUP($A6,DataColumnRange,_xlfn.XLOOKUP(E$1,dataRowRange,ActualDataRange))</f>
        <v>sumit.choudhary@delta.com</v>
      </c>
      <c r="F6" s="38" t="str" cm="1">
        <f t="array" ref="F6">_xlfn.XLOOKUP($A6,DataColumnRange,_xlfn.XLOOKUP(F$1,dataRowRange,ActualDataRange))</f>
        <v>Delta2</v>
      </c>
      <c r="G6" s="38" t="b" cm="1">
        <f t="array" ref="G6">_xlfn.XLOOKUP($A6,DataColumnRange,_xlfn.XLOOKUP(G$1,dataRowRange,ActualDataRange))</f>
        <v>1</v>
      </c>
      <c r="H6" s="38" t="str" cm="1">
        <f t="array" ref="H6">_xlfn.XLOOKUP($A6,DataColumnRange,_xlfn.XLOOKUP(H$1,dataRowRange,ActualDataRange))</f>
        <v>NA</v>
      </c>
      <c r="I6" s="38" t="str" cm="1">
        <f t="array" ref="I6">_xlfn.XLOOKUP($A6,DataColumnRange,_xlfn.XLOOKUP(I$1,dataRowRange,ActualDataRange))</f>
        <v>JFK</v>
      </c>
      <c r="J6" s="38" t="str" cm="1">
        <f t="array" ref="J6">_xlfn.XLOOKUP($A6,DataColumnRange,_xlfn.XLOOKUP(J$1,dataRowRange,ActualDataRange))</f>
        <v>ATL</v>
      </c>
      <c r="K6" s="38" t="str" cm="1">
        <f t="array" ref="K6">_xlfn.XLOOKUP($A6,DataColumnRange,_xlfn.XLOOKUP(K$1,dataRowRange,ActualDataRange))</f>
        <v>Loose</v>
      </c>
      <c r="L6" s="38" t="str" cm="1">
        <f t="array" ref="L6">_xlfn.XLOOKUP($A6,DataColumnRange,_xlfn.XLOOKUP(L$1,dataRowRange,ActualDataRange))</f>
        <v>Test General Cargo</v>
      </c>
      <c r="M6" s="38" cm="1">
        <f t="array" ref="M6">_xlfn.XLOOKUP($A6,DataColumnRange,_xlfn.XLOOKUP(M$1,dataRowRange,ActualDataRange))</f>
        <v>90</v>
      </c>
      <c r="N6" s="38" t="str" cm="1">
        <f t="array" ref="N6">_xlfn.XLOOKUP($A6,DataColumnRange,_xlfn.XLOOKUP(N$1,dataRowRange,ActualDataRange))</f>
        <v>KG</v>
      </c>
      <c r="O6" s="38" cm="1">
        <f t="array" ref="O6">_xlfn.XLOOKUP($A6,DataColumnRange,_xlfn.XLOOKUP(O$1,dataRowRange,ActualDataRange))</f>
        <v>1</v>
      </c>
      <c r="P6" s="38" cm="1">
        <f t="array" ref="P6">_xlfn.XLOOKUP($A6,DataColumnRange,_xlfn.XLOOKUP(P$1,dataRowRange,ActualDataRange))</f>
        <v>10</v>
      </c>
      <c r="Q6" s="38" cm="1">
        <f t="array" ref="Q6">_xlfn.XLOOKUP($A6,DataColumnRange,_xlfn.XLOOKUP(Q$1,dataRowRange,ActualDataRange))</f>
        <v>10</v>
      </c>
      <c r="R6" s="38" cm="1">
        <f t="array" ref="R6">_xlfn.XLOOKUP($A6,DataColumnRange,_xlfn.XLOOKUP(R$1,dataRowRange,ActualDataRange))</f>
        <v>10</v>
      </c>
      <c r="S6" s="38" t="str" cm="1">
        <f t="array" ref="S6">_xlfn.XLOOKUP($A6,DataColumnRange,_xlfn.XLOOKUP(S$1,dataRowRange,ActualDataRange))</f>
        <v>IN</v>
      </c>
      <c r="T6" s="38" t="str" cm="1">
        <f t="array" ref="T6">_xlfn.XLOOKUP($A6,DataColumnRange,_xlfn.XLOOKUP(T$1,dataRowRange,ActualDataRange))</f>
        <v>Cubic Feet</v>
      </c>
      <c r="U6" s="38" t="str" cm="1">
        <f t="array" ref="U6">_xlfn.XLOOKUP($A6,DataColumnRange,_xlfn.XLOOKUP(U$1,dataRowRange,ActualDataRange))</f>
        <v>No</v>
      </c>
      <c r="V6" s="38" t="str" cm="1">
        <f t="array" ref="V6">_xlfn.XLOOKUP($A6,DataColumnRange,_xlfn.XLOOKUP(V$1,dataRowRange,ActualDataRange))</f>
        <v>No</v>
      </c>
      <c r="W6" s="38" t="str" cm="1">
        <f t="array" ref="W6">_xlfn.XLOOKUP($A6,DataColumnRange,_xlfn.XLOOKUP(W$1,dataRowRange,ActualDataRange))</f>
        <v>No</v>
      </c>
      <c r="X6" s="38" cm="1">
        <f t="array" ref="X6">_xlfn.XLOOKUP($A6,DataColumnRange,_xlfn.XLOOKUP(X$1,dataRowRange,ActualDataRange))</f>
        <v>2</v>
      </c>
      <c r="Y6" s="38" t="str" cm="1">
        <f t="array" ref="Y6">_xlfn.XLOOKUP($A6,DataColumnRange,_xlfn.XLOOKUP(Y$1,dataRowRange,ActualDataRange))</f>
        <v>No</v>
      </c>
      <c r="Z6" s="38" t="str" cm="1">
        <f t="array" ref="Z6">_xlfn.XLOOKUP($A6,DataColumnRange,_xlfn.XLOOKUP(Z$1,dataRowRange,ActualDataRange))</f>
        <v>NA</v>
      </c>
      <c r="AA6" s="38" t="str" cm="1">
        <f t="array" ref="AA6">_xlfn.XLOOKUP($A6,DataColumnRange,_xlfn.XLOOKUP(AA$1,dataRowRange,ActualDataRange))</f>
        <v>000260018</v>
      </c>
      <c r="AB6" s="38" t="str" cm="1">
        <f t="array" ref="AB6">_xlfn.XLOOKUP($A6,DataColumnRange,_xlfn.XLOOKUP(AB$1,dataRowRange,ActualDataRange))</f>
        <v>GeneralCargoTemplate</v>
      </c>
      <c r="AC6" s="38" t="str" cm="1">
        <f t="array" ref="AC6">_xlfn.XLOOKUP($A6,DataColumnRange,_xlfn.XLOOKUP(AC$1,dataRowRange,ActualDataRange))</f>
        <v>CreditCard</v>
      </c>
      <c r="AD6" s="38" t="str" cm="1">
        <f t="array" ref="AD6">_xlfn.XLOOKUP($A6,DataColumnRange,_xlfn.XLOOKUP(AD$1,dataRowRange,ActualDataRange))</f>
        <v>NA</v>
      </c>
      <c r="AE6" s="38" t="str" cm="1">
        <f t="array" ref="AE6">_xlfn.XLOOKUP($A6,DataColumnRange,_xlfn.XLOOKUP(AE$1,dataRowRange,ActualDataRange))</f>
        <v>Test1</v>
      </c>
      <c r="AF6" s="38" t="str" cm="1">
        <f t="array" ref="AF6">_xlfn.XLOOKUP($A6,DataColumnRange,_xlfn.XLOOKUP(AF$1,dataRowRange,ActualDataRange))</f>
        <v>Test2</v>
      </c>
      <c r="AG6" s="38" t="str" cm="1">
        <f t="array" ref="AG6">_xlfn.XLOOKUP($A6,DataColumnRange,_xlfn.XLOOKUP(AG$1,dataRowRange,ActualDataRange))</f>
        <v>Atlanta</v>
      </c>
      <c r="AH6" s="38" t="str" cm="1">
        <f t="array" ref="AH6">_xlfn.XLOOKUP($A6,DataColumnRange,_xlfn.XLOOKUP(AH$1,dataRowRange,ActualDataRange))</f>
        <v>Georgia</v>
      </c>
      <c r="AI6" s="38" cm="1">
        <f t="array" ref="AI6">_xlfn.XLOOKUP($A6,DataColumnRange,_xlfn.XLOOKUP(AI$1,dataRowRange,ActualDataRange))</f>
        <v>55055</v>
      </c>
      <c r="AJ6" s="38" t="str" cm="1">
        <f t="array" ref="AJ6">_xlfn.XLOOKUP($A6,DataColumnRange,_xlfn.XLOOKUP(AJ$1,dataRowRange,ActualDataRange))</f>
        <v>171276181</v>
      </c>
      <c r="AK6" s="38" t="str" cm="1">
        <f t="array" ref="AK6">_xlfn.XLOOKUP($A6,DataColumnRange,_xlfn.XLOOKUP(AK$1,dataRowRange,ActualDataRange))</f>
        <v>International</v>
      </c>
      <c r="AL6" s="38" cm="1">
        <f t="array" ref="AL6">_xlfn.XLOOKUP($A6,DataColumnRange,_xlfn.XLOOKUP(AL$1,dataRowRange,ActualDataRange))</f>
        <v>0</v>
      </c>
      <c r="AM6" s="38" t="str" cm="1">
        <f t="array" ref="AM6">_xlfn.XLOOKUP($A6,DataColumnRange,_xlfn.XLOOKUP(AM$1,dataRowRange,ActualDataRange))</f>
        <v>No</v>
      </c>
      <c r="AN6" s="38" t="str" cm="1">
        <f t="array" ref="AN6">_xlfn.XLOOKUP($A6,DataColumnRange,_xlfn.XLOOKUP(AN$1,dataRowRange,ActualDataRange))</f>
        <v>No</v>
      </c>
      <c r="AO6" s="38" t="str" cm="1">
        <f t="array" ref="AO6">_xlfn.XLOOKUP($A6,DataColumnRange,_xlfn.XLOOKUP(AO$1,dataRowRange,ActualDataRange))</f>
        <v>No</v>
      </c>
    </row>
    <row r="7" spans="1:41" ht="16.5" thickBot="1">
      <c r="A7" s="75" t="s">
        <v>350</v>
      </c>
      <c r="B7" s="38" t="str" cm="1">
        <f t="array" ref="B7">_xlfn.XLOOKUP($A7,DataColumnRange,_xlfn.XLOOKUP(B$1,dataRowRange,ActualDataRange))</f>
        <v>General Cargo</v>
      </c>
      <c r="C7" s="39" t="s">
        <v>215</v>
      </c>
      <c r="D7" s="40" t="str">
        <f>IF(TestCaseConfig!$B$2="Yes","Yes","No")</f>
        <v>Yes</v>
      </c>
      <c r="E7" s="38" t="str" cm="1">
        <f t="array" ref="E7">_xlfn.XLOOKUP($A7,DataColumnRange,_xlfn.XLOOKUP(E$1,dataRowRange,ActualDataRange))</f>
        <v>sumit.choudhary@delta.com</v>
      </c>
      <c r="F7" s="38" t="str" cm="1">
        <f t="array" ref="F7">_xlfn.XLOOKUP($A7,DataColumnRange,_xlfn.XLOOKUP(F$1,dataRowRange,ActualDataRange))</f>
        <v>Delta2</v>
      </c>
      <c r="G7" s="38" t="b" cm="1">
        <f t="array" ref="G7">_xlfn.XLOOKUP($A7,DataColumnRange,_xlfn.XLOOKUP(G$1,dataRowRange,ActualDataRange))</f>
        <v>1</v>
      </c>
      <c r="H7" s="38" t="str" cm="1">
        <f t="array" ref="H7">_xlfn.XLOOKUP($A7,DataColumnRange,_xlfn.XLOOKUP(H$1,dataRowRange,ActualDataRange))</f>
        <v>NA</v>
      </c>
      <c r="I7" s="38" t="str" cm="1">
        <f t="array" ref="I7">_xlfn.XLOOKUP($A7,DataColumnRange,_xlfn.XLOOKUP(I$1,dataRowRange,ActualDataRange))</f>
        <v>JFK</v>
      </c>
      <c r="J7" s="38" t="str" cm="1">
        <f t="array" ref="J7">_xlfn.XLOOKUP($A7,DataColumnRange,_xlfn.XLOOKUP(J$1,dataRowRange,ActualDataRange))</f>
        <v>DTW</v>
      </c>
      <c r="K7" s="38" t="str" cm="1">
        <f t="array" ref="K7">_xlfn.XLOOKUP($A7,DataColumnRange,_xlfn.XLOOKUP(K$1,dataRowRange,ActualDataRange))</f>
        <v>Loose</v>
      </c>
      <c r="L7" s="38" t="str" cm="1">
        <f t="array" ref="L7">_xlfn.XLOOKUP($A7,DataColumnRange,_xlfn.XLOOKUP(L$1,dataRowRange,ActualDataRange))</f>
        <v>Test General Cargo</v>
      </c>
      <c r="M7" s="38" cm="1">
        <f t="array" ref="M7">_xlfn.XLOOKUP($A7,DataColumnRange,_xlfn.XLOOKUP(M$1,dataRowRange,ActualDataRange))</f>
        <v>10</v>
      </c>
      <c r="N7" s="38" t="str" cm="1">
        <f t="array" ref="N7">_xlfn.XLOOKUP($A7,DataColumnRange,_xlfn.XLOOKUP(N$1,dataRowRange,ActualDataRange))</f>
        <v>KG</v>
      </c>
      <c r="O7" s="38" cm="1">
        <f t="array" ref="O7">_xlfn.XLOOKUP($A7,DataColumnRange,_xlfn.XLOOKUP(O$1,dataRowRange,ActualDataRange))</f>
        <v>1</v>
      </c>
      <c r="P7" s="38" cm="1">
        <f t="array" ref="P7">_xlfn.XLOOKUP($A7,DataColumnRange,_xlfn.XLOOKUP(P$1,dataRowRange,ActualDataRange))</f>
        <v>10</v>
      </c>
      <c r="Q7" s="38" cm="1">
        <f t="array" ref="Q7">_xlfn.XLOOKUP($A7,DataColumnRange,_xlfn.XLOOKUP(Q$1,dataRowRange,ActualDataRange))</f>
        <v>10</v>
      </c>
      <c r="R7" s="38" cm="1">
        <f t="array" ref="R7">_xlfn.XLOOKUP($A7,DataColumnRange,_xlfn.XLOOKUP(R$1,dataRowRange,ActualDataRange))</f>
        <v>10</v>
      </c>
      <c r="S7" s="38" t="str" cm="1">
        <f t="array" ref="S7">_xlfn.XLOOKUP($A7,DataColumnRange,_xlfn.XLOOKUP(S$1,dataRowRange,ActualDataRange))</f>
        <v>IN</v>
      </c>
      <c r="T7" s="38" t="str" cm="1">
        <f t="array" ref="T7">_xlfn.XLOOKUP($A7,DataColumnRange,_xlfn.XLOOKUP(T$1,dataRowRange,ActualDataRange))</f>
        <v>Cubic Feet</v>
      </c>
      <c r="U7" s="38" t="str" cm="1">
        <f t="array" ref="U7">_xlfn.XLOOKUP($A7,DataColumnRange,_xlfn.XLOOKUP(U$1,dataRowRange,ActualDataRange))</f>
        <v>No</v>
      </c>
      <c r="V7" s="38" t="str" cm="1">
        <f t="array" ref="V7">_xlfn.XLOOKUP($A7,DataColumnRange,_xlfn.XLOOKUP(V$1,dataRowRange,ActualDataRange))</f>
        <v>No</v>
      </c>
      <c r="W7" s="38" t="str" cm="1">
        <f t="array" ref="W7">_xlfn.XLOOKUP($A7,DataColumnRange,_xlfn.XLOOKUP(W$1,dataRowRange,ActualDataRange))</f>
        <v>No</v>
      </c>
      <c r="X7" s="38" cm="1">
        <f t="array" ref="X7">_xlfn.XLOOKUP($A7,DataColumnRange,_xlfn.XLOOKUP(X$1,dataRowRange,ActualDataRange))</f>
        <v>2</v>
      </c>
      <c r="Y7" s="38" t="str" cm="1">
        <f t="array" ref="Y7">_xlfn.XLOOKUP($A7,DataColumnRange,_xlfn.XLOOKUP(Y$1,dataRowRange,ActualDataRange))</f>
        <v>No</v>
      </c>
      <c r="Z7" s="38" t="str" cm="1">
        <f t="array" ref="Z7">_xlfn.XLOOKUP($A7,DataColumnRange,_xlfn.XLOOKUP(Z$1,dataRowRange,ActualDataRange))</f>
        <v>NA</v>
      </c>
      <c r="AA7" s="38" t="str" cm="1">
        <f t="array" ref="AA7">_xlfn.XLOOKUP($A7,DataColumnRange,_xlfn.XLOOKUP(AA$1,dataRowRange,ActualDataRange))</f>
        <v>000260018</v>
      </c>
      <c r="AB7" s="38" t="str" cm="1">
        <f t="array" ref="AB7">_xlfn.XLOOKUP($A7,DataColumnRange,_xlfn.XLOOKUP(AB$1,dataRowRange,ActualDataRange))</f>
        <v>GeneralCargoTemplate</v>
      </c>
      <c r="AC7" s="38" t="str" cm="1">
        <f t="array" ref="AC7">_xlfn.XLOOKUP($A7,DataColumnRange,_xlfn.XLOOKUP(AC$1,dataRowRange,ActualDataRange))</f>
        <v>CreditCard</v>
      </c>
      <c r="AD7" s="38" t="str" cm="1">
        <f t="array" ref="AD7">_xlfn.XLOOKUP($A7,DataColumnRange,_xlfn.XLOOKUP(AD$1,dataRowRange,ActualDataRange))</f>
        <v>NA</v>
      </c>
      <c r="AE7" s="38" t="str" cm="1">
        <f t="array" ref="AE7">_xlfn.XLOOKUP($A7,DataColumnRange,_xlfn.XLOOKUP(AE$1,dataRowRange,ActualDataRange))</f>
        <v>Test1</v>
      </c>
      <c r="AF7" s="38" t="str" cm="1">
        <f t="array" ref="AF7">_xlfn.XLOOKUP($A7,DataColumnRange,_xlfn.XLOOKUP(AF$1,dataRowRange,ActualDataRange))</f>
        <v>Test2</v>
      </c>
      <c r="AG7" s="38" t="str" cm="1">
        <f t="array" ref="AG7">_xlfn.XLOOKUP($A7,DataColumnRange,_xlfn.XLOOKUP(AG$1,dataRowRange,ActualDataRange))</f>
        <v>Atlanta</v>
      </c>
      <c r="AH7" s="38" t="str" cm="1">
        <f t="array" ref="AH7">_xlfn.XLOOKUP($A7,DataColumnRange,_xlfn.XLOOKUP(AH$1,dataRowRange,ActualDataRange))</f>
        <v>Georgia</v>
      </c>
      <c r="AI7" s="38" cm="1">
        <f t="array" ref="AI7">_xlfn.XLOOKUP($A7,DataColumnRange,_xlfn.XLOOKUP(AI$1,dataRowRange,ActualDataRange))</f>
        <v>55055</v>
      </c>
      <c r="AJ7" s="38" t="str" cm="1">
        <f t="array" ref="AJ7">_xlfn.XLOOKUP($A7,DataColumnRange,_xlfn.XLOOKUP(AJ$1,dataRowRange,ActualDataRange))</f>
        <v>171276181</v>
      </c>
      <c r="AK7" s="38" t="str" cm="1">
        <f t="array" ref="AK7">_xlfn.XLOOKUP($A7,DataColumnRange,_xlfn.XLOOKUP(AK$1,dataRowRange,ActualDataRange))</f>
        <v>International</v>
      </c>
      <c r="AL7" s="38" cm="1">
        <f t="array" ref="AL7">_xlfn.XLOOKUP($A7,DataColumnRange,_xlfn.XLOOKUP(AL$1,dataRowRange,ActualDataRange))</f>
        <v>0</v>
      </c>
      <c r="AM7" s="38" t="str" cm="1">
        <f t="array" ref="AM7">_xlfn.XLOOKUP($A7,DataColumnRange,_xlfn.XLOOKUP(AM$1,dataRowRange,ActualDataRange))</f>
        <v>No</v>
      </c>
      <c r="AN7" s="38" t="str" cm="1">
        <f t="array" ref="AN7">_xlfn.XLOOKUP($A7,DataColumnRange,_xlfn.XLOOKUP(AN$1,dataRowRange,ActualDataRange))</f>
        <v>No</v>
      </c>
      <c r="AO7" s="38" t="str" cm="1">
        <f t="array" ref="AO7">_xlfn.XLOOKUP($A7,DataColumnRange,_xlfn.XLOOKUP(AO$1,dataRowRange,ActualDataRange))</f>
        <v>No</v>
      </c>
    </row>
  </sheetData>
  <phoneticPr fontId="4" type="noConversion"/>
  <hyperlinks>
    <hyperlink ref="D2" location="AdvBkngSTD!A1" display="AdvBkngSTD" xr:uid="{9836EF3A-0C81-384A-B28E-38769E19AD72}"/>
    <hyperlink ref="A1" location="TestCaseConfig!A1" display="TestCases" xr:uid="{B061C974-A2F8-7C4C-A5EC-974E6D31B128}"/>
    <hyperlink ref="D3" location="AdvBkngSTD!A1" display="AdvBkngSTD" xr:uid="{CB36AFC9-1F8C-5742-A0EE-CB66BB2FFF62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6C58-3C8B-D941-9CF9-2A0431D4505C}">
  <sheetPr codeName="Sheet6"/>
  <dimension ref="A1:AL11"/>
  <sheetViews>
    <sheetView zoomScale="106" zoomScaleNormal="106" workbookViewId="0">
      <selection activeCell="A17" sqref="A17"/>
    </sheetView>
  </sheetViews>
  <sheetFormatPr defaultColWidth="10.83203125" defaultRowHeight="15.5"/>
  <cols>
    <col min="1" max="1" width="131.58203125" style="11" bestFit="1" customWidth="1"/>
    <col min="2" max="2" width="16" style="11" bestFit="1" customWidth="1"/>
    <col min="3" max="3" width="23.33203125" style="11" bestFit="1" customWidth="1"/>
    <col min="4" max="4" width="10.83203125" style="11" customWidth="1"/>
    <col min="5" max="5" width="25.5" style="11" bestFit="1" customWidth="1"/>
    <col min="6" max="6" width="14.83203125" style="11" bestFit="1" customWidth="1"/>
    <col min="7" max="7" width="19" style="11" bestFit="1" customWidth="1"/>
    <col min="8" max="8" width="20.33203125" style="11" bestFit="1" customWidth="1"/>
    <col min="9" max="9" width="16" style="11" bestFit="1" customWidth="1"/>
    <col min="10" max="10" width="29" style="11" bestFit="1" customWidth="1"/>
    <col min="11" max="11" width="38.58203125" style="11" bestFit="1" customWidth="1"/>
    <col min="12" max="12" width="18.33203125" style="28" bestFit="1" customWidth="1"/>
    <col min="13" max="13" width="15" style="11" bestFit="1" customWidth="1"/>
    <col min="14" max="15" width="10.83203125" style="11"/>
    <col min="16" max="16" width="21.58203125" style="11" bestFit="1" customWidth="1"/>
    <col min="17" max="17" width="20.08203125" style="11" bestFit="1" customWidth="1"/>
    <col min="18" max="18" width="28" style="11" bestFit="1" customWidth="1"/>
    <col min="19" max="19" width="13" style="11" bestFit="1" customWidth="1"/>
    <col min="20" max="20" width="10.83203125" style="11"/>
    <col min="21" max="21" width="22.08203125" style="11" bestFit="1" customWidth="1"/>
    <col min="22" max="22" width="22.83203125" style="11" bestFit="1" customWidth="1"/>
    <col min="23" max="23" width="13.58203125" style="11" bestFit="1" customWidth="1"/>
    <col min="24" max="25" width="10.83203125" style="11"/>
    <col min="26" max="26" width="14.33203125" style="11" bestFit="1" customWidth="1"/>
    <col min="27" max="27" width="38.58203125" style="11" bestFit="1" customWidth="1"/>
    <col min="28" max="28" width="22.08203125" style="11" bestFit="1" customWidth="1"/>
    <col min="29" max="29" width="22.83203125" style="11" bestFit="1" customWidth="1"/>
    <col min="30" max="30" width="13.58203125" style="11" bestFit="1" customWidth="1"/>
    <col min="31" max="35" width="10.83203125" style="11"/>
    <col min="36" max="36" width="14.33203125" style="11" bestFit="1" customWidth="1"/>
    <col min="37" max="37" width="14.33203125" style="11" customWidth="1"/>
    <col min="38" max="16384" width="10.83203125" style="11"/>
  </cols>
  <sheetData>
    <row r="1" spans="1:38">
      <c r="A1" s="19" t="s">
        <v>118</v>
      </c>
      <c r="B1" s="20" t="s">
        <v>2</v>
      </c>
      <c r="C1" s="20" t="s">
        <v>24</v>
      </c>
      <c r="D1" s="20" t="s">
        <v>110</v>
      </c>
      <c r="E1" s="20" t="s">
        <v>122</v>
      </c>
      <c r="F1" s="20" t="s">
        <v>123</v>
      </c>
      <c r="G1" s="21" t="s">
        <v>101</v>
      </c>
      <c r="H1" s="20" t="s">
        <v>32</v>
      </c>
      <c r="I1" s="20" t="s">
        <v>140</v>
      </c>
      <c r="J1" s="20" t="s">
        <v>141</v>
      </c>
      <c r="K1" s="20" t="s">
        <v>211</v>
      </c>
      <c r="L1" s="27" t="s">
        <v>196</v>
      </c>
      <c r="M1" s="25" t="s">
        <v>146</v>
      </c>
      <c r="N1" s="20" t="s">
        <v>144</v>
      </c>
      <c r="O1" s="27" t="s">
        <v>150</v>
      </c>
      <c r="P1" s="20" t="s">
        <v>147</v>
      </c>
      <c r="Q1" s="20" t="s">
        <v>148</v>
      </c>
      <c r="R1" s="26" t="s">
        <v>149</v>
      </c>
      <c r="S1" s="20" t="s">
        <v>151</v>
      </c>
      <c r="T1" s="20" t="s">
        <v>5</v>
      </c>
      <c r="U1" s="20" t="s">
        <v>6</v>
      </c>
      <c r="V1" s="20" t="s">
        <v>7</v>
      </c>
      <c r="W1" s="20" t="s">
        <v>8</v>
      </c>
      <c r="X1" s="20" t="s">
        <v>10</v>
      </c>
      <c r="Y1" s="20" t="s">
        <v>56</v>
      </c>
      <c r="Z1" s="20" t="s">
        <v>59</v>
      </c>
      <c r="AA1" s="20" t="s">
        <v>11</v>
      </c>
      <c r="AB1" s="20" t="s">
        <v>12</v>
      </c>
      <c r="AC1" s="20" t="s">
        <v>13</v>
      </c>
      <c r="AD1" s="20" t="s">
        <v>40</v>
      </c>
      <c r="AE1" s="20" t="s">
        <v>153</v>
      </c>
      <c r="AF1" s="20" t="s">
        <v>154</v>
      </c>
      <c r="AG1" s="20" t="s">
        <v>155</v>
      </c>
      <c r="AH1" s="20" t="s">
        <v>156</v>
      </c>
      <c r="AI1" s="25" t="s">
        <v>157</v>
      </c>
      <c r="AJ1" s="20" t="s">
        <v>102</v>
      </c>
      <c r="AK1" s="20" t="s">
        <v>207</v>
      </c>
      <c r="AL1" s="20" t="s">
        <v>73</v>
      </c>
    </row>
    <row r="2" spans="1:38" ht="17" thickBot="1">
      <c r="A2" s="75" t="s">
        <v>351</v>
      </c>
      <c r="B2" s="33" t="s">
        <v>47</v>
      </c>
      <c r="C2" s="33" t="s">
        <v>190</v>
      </c>
      <c r="D2" s="18" t="str">
        <f>IF(TestCaseConfig!$B$3="Yes","Yes","No")</f>
        <v>Yes</v>
      </c>
      <c r="E2" s="31" t="str" cm="1">
        <f t="array" ref="E2">_xlfn.XLOOKUP($A2,DataColumnRange,_xlfn.XLOOKUP(E$1,dataRowRange,ActualDataRange))</f>
        <v>sumit.choudhary@delta.com</v>
      </c>
      <c r="F2" s="29" t="str" cm="1">
        <f t="array" ref="F2">_xlfn.XLOOKUP($A2,DataColumnRange,_xlfn.XLOOKUP(F$1,dataRowRange,ActualDataRange))</f>
        <v>Delta2</v>
      </c>
      <c r="G2" s="29" t="b" cm="1">
        <f t="array" ref="G2">_xlfn.XLOOKUP($A2,DataColumnRange,_xlfn.XLOOKUP(G$1,dataRowRange,ActualDataRange))</f>
        <v>1</v>
      </c>
      <c r="H2" s="29" t="str" cm="1">
        <f t="array" ref="H2">_xlfn.XLOOKUP($A2,DataColumnRange,_xlfn.XLOOKUP(H$1,dataRowRange,ActualDataRange))</f>
        <v>NA</v>
      </c>
      <c r="I2" s="29" t="str" cm="1">
        <f t="array" ref="I2">_xlfn.XLOOKUP($A2,DataColumnRange,_xlfn.XLOOKUP(I$1,dataRowRange,ActualDataRange))</f>
        <v>ATL</v>
      </c>
      <c r="J2" s="29" t="str" cm="1">
        <f t="array" ref="J2">_xlfn.XLOOKUP($A2,DataColumnRange,_xlfn.XLOOKUP(J$1,dataRowRange,ActualDataRange))</f>
        <v>MSP</v>
      </c>
      <c r="K2" s="29" t="str" cm="1">
        <f t="array" ref="K2">_xlfn.XLOOKUP($A2,DataColumnRange,_xlfn.XLOOKUP(K$1,dataRowRange,ActualDataRange))</f>
        <v>Fresh 1 - Active container</v>
      </c>
      <c r="L2" s="31" t="str" cm="1">
        <f t="array" ref="L2">_xlfn.XLOOKUP($A2,DataColumnRange,_xlfn.XLOOKUP(L$1,dataRowRange,ActualDataRange))</f>
        <v>Test Perishables</v>
      </c>
      <c r="M2" s="29" cm="1">
        <f t="array" ref="M2">_xlfn.XLOOKUP($A2,DataColumnRange,_xlfn.XLOOKUP(M$1,dataRowRange,ActualDataRange))</f>
        <v>10</v>
      </c>
      <c r="N2" s="29" t="str" cm="1">
        <f t="array" ref="N2">_xlfn.XLOOKUP($A2,DataColumnRange,_xlfn.XLOOKUP(N$1,dataRowRange,ActualDataRange))</f>
        <v>LB</v>
      </c>
      <c r="O2" s="29" cm="1">
        <f t="array" ref="O2">_xlfn.XLOOKUP($A2,DataColumnRange,_xlfn.XLOOKUP(O$1,dataRowRange,ActualDataRange))</f>
        <v>1</v>
      </c>
      <c r="P2" s="29" cm="1">
        <f t="array" ref="P2">_xlfn.XLOOKUP($A2,DataColumnRange,_xlfn.XLOOKUP(P$1,dataRowRange,ActualDataRange))</f>
        <v>10</v>
      </c>
      <c r="Q2" s="29" cm="1">
        <f t="array" ref="Q2">_xlfn.XLOOKUP($A2,DataColumnRange,_xlfn.XLOOKUP(Q$1,dataRowRange,ActualDataRange))</f>
        <v>10</v>
      </c>
      <c r="R2" s="29" cm="1">
        <f t="array" ref="R2">_xlfn.XLOOKUP($A2,DataColumnRange,_xlfn.XLOOKUP(R$1,dataRowRange,ActualDataRange))</f>
        <v>10</v>
      </c>
      <c r="S2" s="29" t="str" cm="1">
        <f t="array" ref="S2">_xlfn.XLOOKUP($A2,DataColumnRange,_xlfn.XLOOKUP(S$1,dataRowRange,ActualDataRange))</f>
        <v>IN</v>
      </c>
      <c r="T2" s="29" t="str" cm="1">
        <f t="array" ref="T2">_xlfn.XLOOKUP($A2,DataColumnRange,_xlfn.XLOOKUP(T$1,dataRowRange,ActualDataRange))</f>
        <v>Cubic Feet</v>
      </c>
      <c r="U2" s="29" t="str" cm="1">
        <f t="array" ref="U2">_xlfn.XLOOKUP($A2,DataColumnRange,_xlfn.XLOOKUP(U$1,dataRowRange,ActualDataRange))</f>
        <v>No</v>
      </c>
      <c r="V2" s="29" t="str" cm="1">
        <f t="array" ref="V2">_xlfn.XLOOKUP($A2,DataColumnRange,_xlfn.XLOOKUP(V$1,dataRowRange,ActualDataRange))</f>
        <v>No</v>
      </c>
      <c r="W2" s="29" t="str" cm="1">
        <f t="array" ref="W2">_xlfn.XLOOKUP($A2,DataColumnRange,_xlfn.XLOOKUP(W$1,dataRowRange,ActualDataRange))</f>
        <v>No</v>
      </c>
      <c r="X2" s="29" cm="1">
        <f t="array" ref="X2">_xlfn.XLOOKUP($A2,DataColumnRange,_xlfn.XLOOKUP(X$1,dataRowRange,ActualDataRange))</f>
        <v>2</v>
      </c>
      <c r="Y2" s="29" t="str" cm="1">
        <f t="array" ref="Y2">_xlfn.XLOOKUP($A2,DataColumnRange,_xlfn.XLOOKUP(Y$1,dataRowRange,ActualDataRange))</f>
        <v>No</v>
      </c>
      <c r="Z2" s="29" t="str" cm="1">
        <f t="array" ref="Z2">_xlfn.XLOOKUP($A2,DataColumnRange,_xlfn.XLOOKUP(Z$1,dataRowRange,ActualDataRange))</f>
        <v>NA</v>
      </c>
      <c r="AA2" s="29" t="str" cm="1">
        <f t="array" ref="AA2">_xlfn.XLOOKUP($A2,DataColumnRange,_xlfn.XLOOKUP(AA$1,dataRowRange,ActualDataRange))</f>
        <v>000260018</v>
      </c>
      <c r="AB2" s="29" t="str" cm="1">
        <f t="array" ref="AB2">_xlfn.XLOOKUP($A2,DataColumnRange,_xlfn.XLOOKUP(AB$1,dataRowRange,ActualDataRange))</f>
        <v>GeneralCargoTemplate</v>
      </c>
      <c r="AC2" s="29" t="str" cm="1">
        <f t="array" ref="AC2">_xlfn.XLOOKUP($A2,DataColumnRange,_xlfn.XLOOKUP(AC$1,dataRowRange,ActualDataRange))</f>
        <v>CreditCard</v>
      </c>
      <c r="AD2" s="29" t="str" cm="1">
        <f t="array" ref="AD2">_xlfn.XLOOKUP($A2,DataColumnRange,_xlfn.XLOOKUP(AD$1,dataRowRange,ActualDataRange))</f>
        <v>NA</v>
      </c>
      <c r="AE2" s="29" t="str" cm="1">
        <f t="array" ref="AE2">_xlfn.XLOOKUP($A2,DataColumnRange,_xlfn.XLOOKUP(AE$1,dataRowRange,ActualDataRange))</f>
        <v>Test1</v>
      </c>
      <c r="AF2" s="29" t="str" cm="1">
        <f t="array" ref="AF2">_xlfn.XLOOKUP($A2,DataColumnRange,_xlfn.XLOOKUP(AF$1,dataRowRange,ActualDataRange))</f>
        <v>Test2</v>
      </c>
      <c r="AG2" s="29" t="str" cm="1">
        <f t="array" ref="AG2">_xlfn.XLOOKUP($A2,DataColumnRange,_xlfn.XLOOKUP(AG$1,dataRowRange,ActualDataRange))</f>
        <v>Atlanta</v>
      </c>
      <c r="AH2" s="29" t="str" cm="1">
        <f t="array" ref="AH2">_xlfn.XLOOKUP($A2,DataColumnRange,_xlfn.XLOOKUP(AH$1,dataRowRange,ActualDataRange))</f>
        <v>Georgia</v>
      </c>
      <c r="AI2" s="29" cm="1">
        <f t="array" ref="AI2">_xlfn.XLOOKUP($A2,DataColumnRange,_xlfn.XLOOKUP(AI$1,dataRowRange,ActualDataRange))</f>
        <v>55055</v>
      </c>
      <c r="AJ2" s="29" t="str" cm="1">
        <f t="array" ref="AJ2">_xlfn.XLOOKUP($A2,DataColumnRange,_xlfn.XLOOKUP(AJ$1,dataRowRange,ActualDataRange))</f>
        <v>000075010</v>
      </c>
      <c r="AK2" s="29" t="str" cm="1">
        <f t="array" ref="AK2">_xlfn.XLOOKUP($A2,DataColumnRange,_xlfn.XLOOKUP(AK$1,dataRowRange,ActualDataRange))</f>
        <v>Domestic</v>
      </c>
      <c r="AL2" s="29" cm="1">
        <f t="array" ref="AL2">_xlfn.XLOOKUP($A2,DataColumnRange,_xlfn.XLOOKUP(AL$1,dataRowRange,ActualDataRange))</f>
        <v>0</v>
      </c>
    </row>
    <row r="3" spans="1:38" ht="17" thickBot="1">
      <c r="A3" s="75" t="s">
        <v>352</v>
      </c>
      <c r="B3" s="33" t="s">
        <v>47</v>
      </c>
      <c r="C3" s="33" t="s">
        <v>190</v>
      </c>
      <c r="D3" s="18" t="str">
        <f>IF(TestCaseConfig!$B$3="Yes","Yes","No")</f>
        <v>Yes</v>
      </c>
      <c r="E3" s="29" t="str" cm="1">
        <f t="array" ref="E3">_xlfn.XLOOKUP($A3,DataColumnRange,_xlfn.XLOOKUP(E$1,dataRowRange,ActualDataRange))</f>
        <v>sumit.choudhary@delta.com</v>
      </c>
      <c r="F3" s="29" t="str" cm="1">
        <f t="array" ref="F3">_xlfn.XLOOKUP($A3,DataColumnRange,_xlfn.XLOOKUP(F$1,dataRowRange,ActualDataRange))</f>
        <v>Delta2</v>
      </c>
      <c r="G3" s="29" t="b" cm="1">
        <f t="array" ref="G3">_xlfn.XLOOKUP($A3,DataColumnRange,_xlfn.XLOOKUP(G$1,dataRowRange,ActualDataRange))</f>
        <v>1</v>
      </c>
      <c r="H3" s="29" t="str" cm="1">
        <f t="array" ref="H3">_xlfn.XLOOKUP($A3,DataColumnRange,_xlfn.XLOOKUP(H$1,dataRowRange,ActualDataRange))</f>
        <v>NA</v>
      </c>
      <c r="I3" s="29" t="str" cm="1">
        <f t="array" ref="I3">_xlfn.XLOOKUP($A3,DataColumnRange,_xlfn.XLOOKUP(I$1,dataRowRange,ActualDataRange))</f>
        <v>JFK</v>
      </c>
      <c r="J3" s="29" t="str" cm="1">
        <f t="array" ref="J3">_xlfn.XLOOKUP($A3,DataColumnRange,_xlfn.XLOOKUP(J$1,dataRowRange,ActualDataRange))</f>
        <v>ATL</v>
      </c>
      <c r="K3" s="29" t="str" cm="1">
        <f t="array" ref="K3">_xlfn.XLOOKUP($A3,DataColumnRange,_xlfn.XLOOKUP(K$1,dataRowRange,ActualDataRange))</f>
        <v>Fresh 2 - Temperature controlled between +2°C to 8°C</v>
      </c>
      <c r="L3" s="31" t="str" cm="1">
        <f t="array" ref="L3">_xlfn.XLOOKUP($A3,DataColumnRange,_xlfn.XLOOKUP(L$1,dataRowRange,ActualDataRange))</f>
        <v>Test Perishables</v>
      </c>
      <c r="M3" s="29" cm="1">
        <f t="array" ref="M3">_xlfn.XLOOKUP($A3,DataColumnRange,_xlfn.XLOOKUP(M$1,dataRowRange,ActualDataRange))</f>
        <v>10</v>
      </c>
      <c r="N3" s="29" t="str" cm="1">
        <f t="array" ref="N3">_xlfn.XLOOKUP($A3,DataColumnRange,_xlfn.XLOOKUP(N$1,dataRowRange,ActualDataRange))</f>
        <v>LB</v>
      </c>
      <c r="O3" s="29" cm="1">
        <f t="array" ref="O3">_xlfn.XLOOKUP($A3,DataColumnRange,_xlfn.XLOOKUP(O$1,dataRowRange,ActualDataRange))</f>
        <v>1</v>
      </c>
      <c r="P3" s="29" cm="1">
        <f t="array" ref="P3">_xlfn.XLOOKUP($A3,DataColumnRange,_xlfn.XLOOKUP(P$1,dataRowRange,ActualDataRange))</f>
        <v>10</v>
      </c>
      <c r="Q3" s="29" cm="1">
        <f t="array" ref="Q3">_xlfn.XLOOKUP($A3,DataColumnRange,_xlfn.XLOOKUP(Q$1,dataRowRange,ActualDataRange))</f>
        <v>10</v>
      </c>
      <c r="R3" s="29" cm="1">
        <f t="array" ref="R3">_xlfn.XLOOKUP($A3,DataColumnRange,_xlfn.XLOOKUP(R$1,dataRowRange,ActualDataRange))</f>
        <v>10</v>
      </c>
      <c r="S3" s="29" t="str" cm="1">
        <f t="array" ref="S3">_xlfn.XLOOKUP($A3,DataColumnRange,_xlfn.XLOOKUP(S$1,dataRowRange,ActualDataRange))</f>
        <v>IN</v>
      </c>
      <c r="T3" s="29" t="str" cm="1">
        <f t="array" ref="T3">_xlfn.XLOOKUP($A3,DataColumnRange,_xlfn.XLOOKUP(T$1,dataRowRange,ActualDataRange))</f>
        <v>Cubic Feet</v>
      </c>
      <c r="U3" s="29" t="str" cm="1">
        <f t="array" ref="U3">_xlfn.XLOOKUP($A3,DataColumnRange,_xlfn.XLOOKUP(U$1,dataRowRange,ActualDataRange))</f>
        <v>No</v>
      </c>
      <c r="V3" s="29" t="str" cm="1">
        <f t="array" ref="V3">_xlfn.XLOOKUP($A3,DataColumnRange,_xlfn.XLOOKUP(V$1,dataRowRange,ActualDataRange))</f>
        <v>No</v>
      </c>
      <c r="W3" s="29" t="str" cm="1">
        <f t="array" ref="W3">_xlfn.XLOOKUP($A3,DataColumnRange,_xlfn.XLOOKUP(W$1,dataRowRange,ActualDataRange))</f>
        <v>No</v>
      </c>
      <c r="X3" s="29" cm="1">
        <f t="array" ref="X3">_xlfn.XLOOKUP($A3,DataColumnRange,_xlfn.XLOOKUP(X$1,dataRowRange,ActualDataRange))</f>
        <v>2</v>
      </c>
      <c r="Y3" s="29" t="str" cm="1">
        <f t="array" ref="Y3">_xlfn.XLOOKUP($A3,DataColumnRange,_xlfn.XLOOKUP(Y$1,dataRowRange,ActualDataRange))</f>
        <v>No</v>
      </c>
      <c r="Z3" s="29" t="str" cm="1">
        <f t="array" ref="Z3">_xlfn.XLOOKUP($A3,DataColumnRange,_xlfn.XLOOKUP(Z$1,dataRowRange,ActualDataRange))</f>
        <v>NA</v>
      </c>
      <c r="AA3" s="29" t="str" cm="1">
        <f t="array" ref="AA3">_xlfn.XLOOKUP($A3,DataColumnRange,_xlfn.XLOOKUP(AA$1,dataRowRange,ActualDataRange))</f>
        <v>000260018</v>
      </c>
      <c r="AB3" s="29" t="str" cm="1">
        <f t="array" ref="AB3">_xlfn.XLOOKUP($A3,DataColumnRange,_xlfn.XLOOKUP(AB$1,dataRowRange,ActualDataRange))</f>
        <v>GeneralCargoTemplate</v>
      </c>
      <c r="AC3" s="29" t="str" cm="1">
        <f t="array" ref="AC3">_xlfn.XLOOKUP($A3,DataColumnRange,_xlfn.XLOOKUP(AC$1,dataRowRange,ActualDataRange))</f>
        <v>CreditCard</v>
      </c>
      <c r="AD3" s="29" t="str" cm="1">
        <f t="array" ref="AD3">_xlfn.XLOOKUP($A3,DataColumnRange,_xlfn.XLOOKUP(AD$1,dataRowRange,ActualDataRange))</f>
        <v>NA</v>
      </c>
      <c r="AE3" s="29" t="str" cm="1">
        <f t="array" ref="AE3">_xlfn.XLOOKUP($A3,DataColumnRange,_xlfn.XLOOKUP(AE$1,dataRowRange,ActualDataRange))</f>
        <v>Test1</v>
      </c>
      <c r="AF3" s="29" t="str" cm="1">
        <f t="array" ref="AF3">_xlfn.XLOOKUP($A3,DataColumnRange,_xlfn.XLOOKUP(AF$1,dataRowRange,ActualDataRange))</f>
        <v>Test2</v>
      </c>
      <c r="AG3" s="29" t="str" cm="1">
        <f t="array" ref="AG3">_xlfn.XLOOKUP($A3,DataColumnRange,_xlfn.XLOOKUP(AG$1,dataRowRange,ActualDataRange))</f>
        <v>Atlanta</v>
      </c>
      <c r="AH3" s="29" t="str" cm="1">
        <f t="array" ref="AH3">_xlfn.XLOOKUP($A3,DataColumnRange,_xlfn.XLOOKUP(AH$1,dataRowRange,ActualDataRange))</f>
        <v>Georgia</v>
      </c>
      <c r="AI3" s="29" cm="1">
        <f t="array" ref="AI3">_xlfn.XLOOKUP($A3,DataColumnRange,_xlfn.XLOOKUP(AI$1,dataRowRange,ActualDataRange))</f>
        <v>55055</v>
      </c>
      <c r="AJ3" s="29" t="str" cm="1">
        <f t="array" ref="AJ3">_xlfn.XLOOKUP($A3,DataColumnRange,_xlfn.XLOOKUP(AJ$1,dataRowRange,ActualDataRange))</f>
        <v>000075010</v>
      </c>
      <c r="AK3" s="29" t="str" cm="1">
        <f t="array" ref="AK3">_xlfn.XLOOKUP($A3,DataColumnRange,_xlfn.XLOOKUP(AK$1,dataRowRange,ActualDataRange))</f>
        <v>Domestic</v>
      </c>
      <c r="AL3" s="29" cm="1">
        <f t="array" ref="AL3">_xlfn.XLOOKUP($A3,DataColumnRange,_xlfn.XLOOKUP(AL$1,dataRowRange,ActualDataRange))</f>
        <v>0</v>
      </c>
    </row>
    <row r="4" spans="1:38" ht="17" thickBot="1">
      <c r="A4" s="75" t="s">
        <v>353</v>
      </c>
      <c r="B4" s="33" t="s">
        <v>47</v>
      </c>
      <c r="C4" s="33" t="s">
        <v>191</v>
      </c>
      <c r="D4" s="18" t="str">
        <f>IF(TestCaseConfig!$B$3="Yes","Yes","No")</f>
        <v>Yes</v>
      </c>
      <c r="E4" s="29" t="str" cm="1">
        <f t="array" ref="E4">_xlfn.XLOOKUP($A4,DataColumnRange,_xlfn.XLOOKUP(E$1,dataRowRange,ActualDataRange))</f>
        <v>sumit.choudhary@delta.com</v>
      </c>
      <c r="F4" s="29" t="str" cm="1">
        <f t="array" ref="F4">_xlfn.XLOOKUP($A4,DataColumnRange,_xlfn.XLOOKUP(F$1,dataRowRange,ActualDataRange))</f>
        <v>Delta2</v>
      </c>
      <c r="G4" s="29" t="b" cm="1">
        <f t="array" ref="G4">_xlfn.XLOOKUP($A4,DataColumnRange,_xlfn.XLOOKUP(G$1,dataRowRange,ActualDataRange))</f>
        <v>1</v>
      </c>
      <c r="H4" s="29" t="str" cm="1">
        <f t="array" ref="H4">_xlfn.XLOOKUP($A4,DataColumnRange,_xlfn.XLOOKUP(H$1,dataRowRange,ActualDataRange))</f>
        <v>NA</v>
      </c>
      <c r="I4" s="29" t="str" cm="1">
        <f t="array" ref="I4">_xlfn.XLOOKUP($A4,DataColumnRange,_xlfn.XLOOKUP(I$1,dataRowRange,ActualDataRange))</f>
        <v>JFK</v>
      </c>
      <c r="J4" s="29" t="str" cm="1">
        <f t="array" ref="J4">_xlfn.XLOOKUP($A4,DataColumnRange,_xlfn.XLOOKUP(J$1,dataRowRange,ActualDataRange))</f>
        <v>DTW</v>
      </c>
      <c r="K4" s="29" t="str" cm="1">
        <f t="array" ref="K4">_xlfn.XLOOKUP($A4,DataColumnRange,_xlfn.XLOOKUP(K$1,dataRowRange,ActualDataRange))</f>
        <v>Fresh 3 - Flowers between +2°C to 25°C</v>
      </c>
      <c r="L4" s="31" t="str" cm="1">
        <f t="array" ref="L4">_xlfn.XLOOKUP($A4,DataColumnRange,_xlfn.XLOOKUP(L$1,dataRowRange,ActualDataRange))</f>
        <v>Test Perishables</v>
      </c>
      <c r="M4" s="29" cm="1">
        <f t="array" ref="M4">_xlfn.XLOOKUP($A4,DataColumnRange,_xlfn.XLOOKUP(M$1,dataRowRange,ActualDataRange))</f>
        <v>10</v>
      </c>
      <c r="N4" s="29" t="str" cm="1">
        <f t="array" ref="N4">_xlfn.XLOOKUP($A4,DataColumnRange,_xlfn.XLOOKUP(N$1,dataRowRange,ActualDataRange))</f>
        <v>LB</v>
      </c>
      <c r="O4" s="29" cm="1">
        <f t="array" ref="O4">_xlfn.XLOOKUP($A4,DataColumnRange,_xlfn.XLOOKUP(O$1,dataRowRange,ActualDataRange))</f>
        <v>1</v>
      </c>
      <c r="P4" s="29" cm="1">
        <f t="array" ref="P4">_xlfn.XLOOKUP($A4,DataColumnRange,_xlfn.XLOOKUP(P$1,dataRowRange,ActualDataRange))</f>
        <v>10</v>
      </c>
      <c r="Q4" s="29" cm="1">
        <f t="array" ref="Q4">_xlfn.XLOOKUP($A4,DataColumnRange,_xlfn.XLOOKUP(Q$1,dataRowRange,ActualDataRange))</f>
        <v>10</v>
      </c>
      <c r="R4" s="29" cm="1">
        <f t="array" ref="R4">_xlfn.XLOOKUP($A4,DataColumnRange,_xlfn.XLOOKUP(R$1,dataRowRange,ActualDataRange))</f>
        <v>10</v>
      </c>
      <c r="S4" s="29" t="str" cm="1">
        <f t="array" ref="S4">_xlfn.XLOOKUP($A4,DataColumnRange,_xlfn.XLOOKUP(S$1,dataRowRange,ActualDataRange))</f>
        <v>IN</v>
      </c>
      <c r="T4" s="29" t="str" cm="1">
        <f t="array" ref="T4">_xlfn.XLOOKUP($A4,DataColumnRange,_xlfn.XLOOKUP(T$1,dataRowRange,ActualDataRange))</f>
        <v>Cubic Feet</v>
      </c>
      <c r="U4" s="29" t="str" cm="1">
        <f t="array" ref="U4">_xlfn.XLOOKUP($A4,DataColumnRange,_xlfn.XLOOKUP(U$1,dataRowRange,ActualDataRange))</f>
        <v>No</v>
      </c>
      <c r="V4" s="29" t="str" cm="1">
        <f t="array" ref="V4">_xlfn.XLOOKUP($A4,DataColumnRange,_xlfn.XLOOKUP(V$1,dataRowRange,ActualDataRange))</f>
        <v>No</v>
      </c>
      <c r="W4" s="29" t="str" cm="1">
        <f t="array" ref="W4">_xlfn.XLOOKUP($A4,DataColumnRange,_xlfn.XLOOKUP(W$1,dataRowRange,ActualDataRange))</f>
        <v>No</v>
      </c>
      <c r="X4" s="29" cm="1">
        <f t="array" ref="X4">_xlfn.XLOOKUP($A4,DataColumnRange,_xlfn.XLOOKUP(X$1,dataRowRange,ActualDataRange))</f>
        <v>2</v>
      </c>
      <c r="Y4" s="29" t="str" cm="1">
        <f t="array" ref="Y4">_xlfn.XLOOKUP($A4,DataColumnRange,_xlfn.XLOOKUP(Y$1,dataRowRange,ActualDataRange))</f>
        <v>No</v>
      </c>
      <c r="Z4" s="29" t="str" cm="1">
        <f t="array" ref="Z4">_xlfn.XLOOKUP($A4,DataColumnRange,_xlfn.XLOOKUP(Z$1,dataRowRange,ActualDataRange))</f>
        <v>NA</v>
      </c>
      <c r="AA4" s="29" t="str" cm="1">
        <f t="array" ref="AA4">_xlfn.XLOOKUP($A4,DataColumnRange,_xlfn.XLOOKUP(AA$1,dataRowRange,ActualDataRange))</f>
        <v>000260018</v>
      </c>
      <c r="AB4" s="29" t="str" cm="1">
        <f t="array" ref="AB4">_xlfn.XLOOKUP($A4,DataColumnRange,_xlfn.XLOOKUP(AB$1,dataRowRange,ActualDataRange))</f>
        <v>GeneralCargoTemplate</v>
      </c>
      <c r="AC4" s="29" t="str" cm="1">
        <f t="array" ref="AC4">_xlfn.XLOOKUP($A4,DataColumnRange,_xlfn.XLOOKUP(AC$1,dataRowRange,ActualDataRange))</f>
        <v>CreditCard</v>
      </c>
      <c r="AD4" s="29" t="str" cm="1">
        <f t="array" ref="AD4">_xlfn.XLOOKUP($A4,DataColumnRange,_xlfn.XLOOKUP(AD$1,dataRowRange,ActualDataRange))</f>
        <v>NA</v>
      </c>
      <c r="AE4" s="29" t="str" cm="1">
        <f t="array" ref="AE4">_xlfn.XLOOKUP($A4,DataColumnRange,_xlfn.XLOOKUP(AE$1,dataRowRange,ActualDataRange))</f>
        <v>Test1</v>
      </c>
      <c r="AF4" s="29" t="str" cm="1">
        <f t="array" ref="AF4">_xlfn.XLOOKUP($A4,DataColumnRange,_xlfn.XLOOKUP(AF$1,dataRowRange,ActualDataRange))</f>
        <v>Test2</v>
      </c>
      <c r="AG4" s="29" t="str" cm="1">
        <f t="array" ref="AG4">_xlfn.XLOOKUP($A4,DataColumnRange,_xlfn.XLOOKUP(AG$1,dataRowRange,ActualDataRange))</f>
        <v>Atlanta</v>
      </c>
      <c r="AH4" s="29" t="str" cm="1">
        <f t="array" ref="AH4">_xlfn.XLOOKUP($A4,DataColumnRange,_xlfn.XLOOKUP(AH$1,dataRowRange,ActualDataRange))</f>
        <v>Georgia</v>
      </c>
      <c r="AI4" s="29" cm="1">
        <f t="array" ref="AI4">_xlfn.XLOOKUP($A4,DataColumnRange,_xlfn.XLOOKUP(AI$1,dataRowRange,ActualDataRange))</f>
        <v>55055</v>
      </c>
      <c r="AJ4" s="29" t="str" cm="1">
        <f t="array" ref="AJ4">_xlfn.XLOOKUP($A4,DataColumnRange,_xlfn.XLOOKUP(AJ$1,dataRowRange,ActualDataRange))</f>
        <v>000075010</v>
      </c>
      <c r="AK4" s="29" t="str" cm="1">
        <f t="array" ref="AK4">_xlfn.XLOOKUP($A4,DataColumnRange,_xlfn.XLOOKUP(AK$1,dataRowRange,ActualDataRange))</f>
        <v>Domestic</v>
      </c>
      <c r="AL4" s="29" cm="1">
        <f t="array" ref="AL4">_xlfn.XLOOKUP($A4,DataColumnRange,_xlfn.XLOOKUP(AL$1,dataRowRange,ActualDataRange))</f>
        <v>0</v>
      </c>
    </row>
    <row r="5" spans="1:38" ht="17" thickBot="1">
      <c r="A5" s="75" t="s">
        <v>354</v>
      </c>
      <c r="B5" s="33" t="s">
        <v>47</v>
      </c>
      <c r="C5" s="33" t="s">
        <v>166</v>
      </c>
      <c r="D5" s="18" t="str">
        <f>IF(TestCaseConfig!$B$3="Yes","Yes","No")</f>
        <v>Yes</v>
      </c>
      <c r="E5" s="29" t="str" cm="1">
        <f t="array" ref="E5">_xlfn.XLOOKUP($A5,DataColumnRange,_xlfn.XLOOKUP(E$1,dataRowRange,ActualDataRange))</f>
        <v>sumit.choudhary@delta.com</v>
      </c>
      <c r="F5" s="29" t="str" cm="1">
        <f t="array" ref="F5">_xlfn.XLOOKUP($A5,DataColumnRange,_xlfn.XLOOKUP(F$1,dataRowRange,ActualDataRange))</f>
        <v>Delta2</v>
      </c>
      <c r="G5" s="29" t="b" cm="1">
        <f t="array" ref="G5">_xlfn.XLOOKUP($A5,DataColumnRange,_xlfn.XLOOKUP(G$1,dataRowRange,ActualDataRange))</f>
        <v>1</v>
      </c>
      <c r="H5" s="29" t="str" cm="1">
        <f t="array" ref="H5">_xlfn.XLOOKUP($A5,DataColumnRange,_xlfn.XLOOKUP(H$1,dataRowRange,ActualDataRange))</f>
        <v>NA</v>
      </c>
      <c r="I5" s="29" t="str" cm="1">
        <f t="array" ref="I5">_xlfn.XLOOKUP($A5,DataColumnRange,_xlfn.XLOOKUP(I$1,dataRowRange,ActualDataRange))</f>
        <v>ATL</v>
      </c>
      <c r="J5" s="29" t="str" cm="1">
        <f t="array" ref="J5">_xlfn.XLOOKUP($A5,DataColumnRange,_xlfn.XLOOKUP(J$1,dataRowRange,ActualDataRange))</f>
        <v>MSP</v>
      </c>
      <c r="K5" s="29" t="str" cm="1">
        <f t="array" ref="K5">_xlfn.XLOOKUP($A5,DataColumnRange,_xlfn.XLOOKUP(K$1,dataRowRange,ActualDataRange))</f>
        <v>Fresh 3 - Foodstuffs between +2°C to 25°C</v>
      </c>
      <c r="L5" s="31" t="str" cm="1">
        <f t="array" ref="L5">_xlfn.XLOOKUP($A5,DataColumnRange,_xlfn.XLOOKUP(L$1,dataRowRange,ActualDataRange))</f>
        <v>Test Perishables</v>
      </c>
      <c r="M5" s="29" cm="1">
        <f t="array" ref="M5">_xlfn.XLOOKUP($A5,DataColumnRange,_xlfn.XLOOKUP(M$1,dataRowRange,ActualDataRange))</f>
        <v>10</v>
      </c>
      <c r="N5" s="29" t="str" cm="1">
        <f t="array" ref="N5">_xlfn.XLOOKUP($A5,DataColumnRange,_xlfn.XLOOKUP(N$1,dataRowRange,ActualDataRange))</f>
        <v>LB</v>
      </c>
      <c r="O5" s="29" cm="1">
        <f t="array" ref="O5">_xlfn.XLOOKUP($A5,DataColumnRange,_xlfn.XLOOKUP(O$1,dataRowRange,ActualDataRange))</f>
        <v>1</v>
      </c>
      <c r="P5" s="29" cm="1">
        <f t="array" ref="P5">_xlfn.XLOOKUP($A5,DataColumnRange,_xlfn.XLOOKUP(P$1,dataRowRange,ActualDataRange))</f>
        <v>10</v>
      </c>
      <c r="Q5" s="29" cm="1">
        <f t="array" ref="Q5">_xlfn.XLOOKUP($A5,DataColumnRange,_xlfn.XLOOKUP(Q$1,dataRowRange,ActualDataRange))</f>
        <v>10</v>
      </c>
      <c r="R5" s="29" cm="1">
        <f t="array" ref="R5">_xlfn.XLOOKUP($A5,DataColumnRange,_xlfn.XLOOKUP(R$1,dataRowRange,ActualDataRange))</f>
        <v>10</v>
      </c>
      <c r="S5" s="29" t="str" cm="1">
        <f t="array" ref="S5">_xlfn.XLOOKUP($A5,DataColumnRange,_xlfn.XLOOKUP(S$1,dataRowRange,ActualDataRange))</f>
        <v>IN</v>
      </c>
      <c r="T5" s="29" t="str" cm="1">
        <f t="array" ref="T5">_xlfn.XLOOKUP($A5,DataColumnRange,_xlfn.XLOOKUP(T$1,dataRowRange,ActualDataRange))</f>
        <v>Cubic Feet</v>
      </c>
      <c r="U5" s="29" t="str" cm="1">
        <f t="array" ref="U5">_xlfn.XLOOKUP($A5,DataColumnRange,_xlfn.XLOOKUP(U$1,dataRowRange,ActualDataRange))</f>
        <v>No</v>
      </c>
      <c r="V5" s="29" t="str" cm="1">
        <f t="array" ref="V5">_xlfn.XLOOKUP($A5,DataColumnRange,_xlfn.XLOOKUP(V$1,dataRowRange,ActualDataRange))</f>
        <v>No</v>
      </c>
      <c r="W5" s="29" t="str" cm="1">
        <f t="array" ref="W5">_xlfn.XLOOKUP($A5,DataColumnRange,_xlfn.XLOOKUP(W$1,dataRowRange,ActualDataRange))</f>
        <v>No</v>
      </c>
      <c r="X5" s="29" cm="1">
        <f t="array" ref="X5">_xlfn.XLOOKUP($A5,DataColumnRange,_xlfn.XLOOKUP(X$1,dataRowRange,ActualDataRange))</f>
        <v>2</v>
      </c>
      <c r="Y5" s="29" t="str" cm="1">
        <f t="array" ref="Y5">_xlfn.XLOOKUP($A5,DataColumnRange,_xlfn.XLOOKUP(Y$1,dataRowRange,ActualDataRange))</f>
        <v>No</v>
      </c>
      <c r="Z5" s="29" t="str" cm="1">
        <f t="array" ref="Z5">_xlfn.XLOOKUP($A5,DataColumnRange,_xlfn.XLOOKUP(Z$1,dataRowRange,ActualDataRange))</f>
        <v>NA</v>
      </c>
      <c r="AA5" s="29" t="str" cm="1">
        <f t="array" ref="AA5">_xlfn.XLOOKUP($A5,DataColumnRange,_xlfn.XLOOKUP(AA$1,dataRowRange,ActualDataRange))</f>
        <v>000260018</v>
      </c>
      <c r="AB5" s="29" t="str" cm="1">
        <f t="array" ref="AB5">_xlfn.XLOOKUP($A5,DataColumnRange,_xlfn.XLOOKUP(AB$1,dataRowRange,ActualDataRange))</f>
        <v>GeneralCargoTemplate</v>
      </c>
      <c r="AC5" s="29" t="str" cm="1">
        <f t="array" ref="AC5">_xlfn.XLOOKUP($A5,DataColumnRange,_xlfn.XLOOKUP(AC$1,dataRowRange,ActualDataRange))</f>
        <v>CreditCard</v>
      </c>
      <c r="AD5" s="29" t="str" cm="1">
        <f t="array" ref="AD5">_xlfn.XLOOKUP($A5,DataColumnRange,_xlfn.XLOOKUP(AD$1,dataRowRange,ActualDataRange))</f>
        <v>NA</v>
      </c>
      <c r="AE5" s="29" t="str" cm="1">
        <f t="array" ref="AE5">_xlfn.XLOOKUP($A5,DataColumnRange,_xlfn.XLOOKUP(AE$1,dataRowRange,ActualDataRange))</f>
        <v>Test1</v>
      </c>
      <c r="AF5" s="29" t="str" cm="1">
        <f t="array" ref="AF5">_xlfn.XLOOKUP($A5,DataColumnRange,_xlfn.XLOOKUP(AF$1,dataRowRange,ActualDataRange))</f>
        <v>Test2</v>
      </c>
      <c r="AG5" s="29" t="str" cm="1">
        <f t="array" ref="AG5">_xlfn.XLOOKUP($A5,DataColumnRange,_xlfn.XLOOKUP(AG$1,dataRowRange,ActualDataRange))</f>
        <v>Atlanta</v>
      </c>
      <c r="AH5" s="29" t="str" cm="1">
        <f t="array" ref="AH5">_xlfn.XLOOKUP($A5,DataColumnRange,_xlfn.XLOOKUP(AH$1,dataRowRange,ActualDataRange))</f>
        <v>Georgia</v>
      </c>
      <c r="AI5" s="29" cm="1">
        <f t="array" ref="AI5">_xlfn.XLOOKUP($A5,DataColumnRange,_xlfn.XLOOKUP(AI$1,dataRowRange,ActualDataRange))</f>
        <v>55055</v>
      </c>
      <c r="AJ5" s="29" t="str" cm="1">
        <f t="array" ref="AJ5">_xlfn.XLOOKUP($A5,DataColumnRange,_xlfn.XLOOKUP(AJ$1,dataRowRange,ActualDataRange))</f>
        <v>000075010</v>
      </c>
      <c r="AK5" s="29" t="str" cm="1">
        <f t="array" ref="AK5">_xlfn.XLOOKUP($A5,DataColumnRange,_xlfn.XLOOKUP(AK$1,dataRowRange,ActualDataRange))</f>
        <v>Domestic</v>
      </c>
      <c r="AL5" s="29" cm="1">
        <f t="array" ref="AL5">_xlfn.XLOOKUP($A5,DataColumnRange,_xlfn.XLOOKUP(AL$1,dataRowRange,ActualDataRange))</f>
        <v>0</v>
      </c>
    </row>
    <row r="6" spans="1:38" ht="17" thickBot="1">
      <c r="A6" s="75" t="s">
        <v>355</v>
      </c>
      <c r="B6" s="33" t="s">
        <v>47</v>
      </c>
      <c r="C6" s="33" t="s">
        <v>163</v>
      </c>
      <c r="D6" s="18" t="str">
        <f>IF(TestCaseConfig!$B$3="Yes","Yes","No")</f>
        <v>Yes</v>
      </c>
      <c r="E6" s="29" t="str" cm="1">
        <f t="array" ref="E6">_xlfn.XLOOKUP($A6,DataColumnRange,_xlfn.XLOOKUP(E$1,dataRowRange,ActualDataRange))</f>
        <v>sumit.choudhary@delta.com</v>
      </c>
      <c r="F6" s="29" t="str" cm="1">
        <f t="array" ref="F6">_xlfn.XLOOKUP($A6,DataColumnRange,_xlfn.XLOOKUP(F$1,dataRowRange,ActualDataRange))</f>
        <v>Delta2</v>
      </c>
      <c r="G6" s="29" t="b" cm="1">
        <f t="array" ref="G6">_xlfn.XLOOKUP($A6,DataColumnRange,_xlfn.XLOOKUP(G$1,dataRowRange,ActualDataRange))</f>
        <v>1</v>
      </c>
      <c r="H6" s="29" t="str" cm="1">
        <f t="array" ref="H6">_xlfn.XLOOKUP($A6,DataColumnRange,_xlfn.XLOOKUP(H$1,dataRowRange,ActualDataRange))</f>
        <v>NA</v>
      </c>
      <c r="I6" s="29" t="str" cm="1">
        <f t="array" ref="I6">_xlfn.XLOOKUP($A6,DataColumnRange,_xlfn.XLOOKUP(I$1,dataRowRange,ActualDataRange))</f>
        <v>JFK</v>
      </c>
      <c r="J6" s="29" t="str" cm="1">
        <f t="array" ref="J6">_xlfn.XLOOKUP($A6,DataColumnRange,_xlfn.XLOOKUP(J$1,dataRowRange,ActualDataRange))</f>
        <v>ATL</v>
      </c>
      <c r="K6" s="29" t="str" cm="1">
        <f t="array" ref="K6">_xlfn.XLOOKUP($A6,DataColumnRange,_xlfn.XLOOKUP(K$1,dataRowRange,ActualDataRange))</f>
        <v>Fresh 3 - Seafood between +2°C to 25°C</v>
      </c>
      <c r="L6" s="31" t="str" cm="1">
        <f t="array" ref="L6">_xlfn.XLOOKUP($A6,DataColumnRange,_xlfn.XLOOKUP(L$1,dataRowRange,ActualDataRange))</f>
        <v>Test Perishables</v>
      </c>
      <c r="M6" s="29" cm="1">
        <f t="array" ref="M6">_xlfn.XLOOKUP($A6,DataColumnRange,_xlfn.XLOOKUP(M$1,dataRowRange,ActualDataRange))</f>
        <v>10</v>
      </c>
      <c r="N6" s="29" t="str" cm="1">
        <f t="array" ref="N6">_xlfn.XLOOKUP($A6,DataColumnRange,_xlfn.XLOOKUP(N$1,dataRowRange,ActualDataRange))</f>
        <v>LB</v>
      </c>
      <c r="O6" s="29" cm="1">
        <f t="array" ref="O6">_xlfn.XLOOKUP($A6,DataColumnRange,_xlfn.XLOOKUP(O$1,dataRowRange,ActualDataRange))</f>
        <v>1</v>
      </c>
      <c r="P6" s="29" cm="1">
        <f t="array" ref="P6">_xlfn.XLOOKUP($A6,DataColumnRange,_xlfn.XLOOKUP(P$1,dataRowRange,ActualDataRange))</f>
        <v>10</v>
      </c>
      <c r="Q6" s="29" cm="1">
        <f t="array" ref="Q6">_xlfn.XLOOKUP($A6,DataColumnRange,_xlfn.XLOOKUP(Q$1,dataRowRange,ActualDataRange))</f>
        <v>10</v>
      </c>
      <c r="R6" s="29" cm="1">
        <f t="array" ref="R6">_xlfn.XLOOKUP($A6,DataColumnRange,_xlfn.XLOOKUP(R$1,dataRowRange,ActualDataRange))</f>
        <v>10</v>
      </c>
      <c r="S6" s="29" t="str" cm="1">
        <f t="array" ref="S6">_xlfn.XLOOKUP($A6,DataColumnRange,_xlfn.XLOOKUP(S$1,dataRowRange,ActualDataRange))</f>
        <v>IN</v>
      </c>
      <c r="T6" s="29" t="str" cm="1">
        <f t="array" ref="T6">_xlfn.XLOOKUP($A6,DataColumnRange,_xlfn.XLOOKUP(T$1,dataRowRange,ActualDataRange))</f>
        <v>Cubic Feet</v>
      </c>
      <c r="U6" s="29" t="str" cm="1">
        <f t="array" ref="U6">_xlfn.XLOOKUP($A6,DataColumnRange,_xlfn.XLOOKUP(U$1,dataRowRange,ActualDataRange))</f>
        <v>No</v>
      </c>
      <c r="V6" s="29" t="str" cm="1">
        <f t="array" ref="V6">_xlfn.XLOOKUP($A6,DataColumnRange,_xlfn.XLOOKUP(V$1,dataRowRange,ActualDataRange))</f>
        <v>No</v>
      </c>
      <c r="W6" s="29" t="str" cm="1">
        <f t="array" ref="W6">_xlfn.XLOOKUP($A6,DataColumnRange,_xlfn.XLOOKUP(W$1,dataRowRange,ActualDataRange))</f>
        <v>No</v>
      </c>
      <c r="X6" s="29" cm="1">
        <f t="array" ref="X6">_xlfn.XLOOKUP($A6,DataColumnRange,_xlfn.XLOOKUP(X$1,dataRowRange,ActualDataRange))</f>
        <v>2</v>
      </c>
      <c r="Y6" s="29" t="str" cm="1">
        <f t="array" ref="Y6">_xlfn.XLOOKUP($A6,DataColumnRange,_xlfn.XLOOKUP(Y$1,dataRowRange,ActualDataRange))</f>
        <v>No</v>
      </c>
      <c r="Z6" s="29" t="str" cm="1">
        <f t="array" ref="Z6">_xlfn.XLOOKUP($A6,DataColumnRange,_xlfn.XLOOKUP(Z$1,dataRowRange,ActualDataRange))</f>
        <v>NA</v>
      </c>
      <c r="AA6" s="29" t="str" cm="1">
        <f t="array" ref="AA6">_xlfn.XLOOKUP($A6,DataColumnRange,_xlfn.XLOOKUP(AA$1,dataRowRange,ActualDataRange))</f>
        <v>000260018</v>
      </c>
      <c r="AB6" s="29" t="str" cm="1">
        <f t="array" ref="AB6">_xlfn.XLOOKUP($A6,DataColumnRange,_xlfn.XLOOKUP(AB$1,dataRowRange,ActualDataRange))</f>
        <v>GeneralCargoTemplate</v>
      </c>
      <c r="AC6" s="29" t="str" cm="1">
        <f t="array" ref="AC6">_xlfn.XLOOKUP($A6,DataColumnRange,_xlfn.XLOOKUP(AC$1,dataRowRange,ActualDataRange))</f>
        <v>CreditCard</v>
      </c>
      <c r="AD6" s="29" t="str" cm="1">
        <f t="array" ref="AD6">_xlfn.XLOOKUP($A6,DataColumnRange,_xlfn.XLOOKUP(AD$1,dataRowRange,ActualDataRange))</f>
        <v>NA</v>
      </c>
      <c r="AE6" s="29" t="str" cm="1">
        <f t="array" ref="AE6">_xlfn.XLOOKUP($A6,DataColumnRange,_xlfn.XLOOKUP(AE$1,dataRowRange,ActualDataRange))</f>
        <v>Test1</v>
      </c>
      <c r="AF6" s="29" t="str" cm="1">
        <f t="array" ref="AF6">_xlfn.XLOOKUP($A6,DataColumnRange,_xlfn.XLOOKUP(AF$1,dataRowRange,ActualDataRange))</f>
        <v>Test2</v>
      </c>
      <c r="AG6" s="29" t="str" cm="1">
        <f t="array" ref="AG6">_xlfn.XLOOKUP($A6,DataColumnRange,_xlfn.XLOOKUP(AG$1,dataRowRange,ActualDataRange))</f>
        <v>Atlanta</v>
      </c>
      <c r="AH6" s="29" t="str" cm="1">
        <f t="array" ref="AH6">_xlfn.XLOOKUP($A6,DataColumnRange,_xlfn.XLOOKUP(AH$1,dataRowRange,ActualDataRange))</f>
        <v>Georgia</v>
      </c>
      <c r="AI6" s="29" cm="1">
        <f t="array" ref="AI6">_xlfn.XLOOKUP($A6,DataColumnRange,_xlfn.XLOOKUP(AI$1,dataRowRange,ActualDataRange))</f>
        <v>55055</v>
      </c>
      <c r="AJ6" s="29" t="str" cm="1">
        <f t="array" ref="AJ6">_xlfn.XLOOKUP($A6,DataColumnRange,_xlfn.XLOOKUP(AJ$1,dataRowRange,ActualDataRange))</f>
        <v>000075010</v>
      </c>
      <c r="AK6" s="29" t="str" cm="1">
        <f t="array" ref="AK6">_xlfn.XLOOKUP($A6,DataColumnRange,_xlfn.XLOOKUP(AK$1,dataRowRange,ActualDataRange))</f>
        <v>Domestic</v>
      </c>
      <c r="AL6" s="29" cm="1">
        <f t="array" ref="AL6">_xlfn.XLOOKUP($A6,DataColumnRange,_xlfn.XLOOKUP(AL$1,dataRowRange,ActualDataRange))</f>
        <v>0</v>
      </c>
    </row>
    <row r="7" spans="1:38" ht="17" thickBot="1">
      <c r="A7" s="75" t="s">
        <v>356</v>
      </c>
      <c r="B7" s="33" t="s">
        <v>47</v>
      </c>
      <c r="C7" s="33" t="s">
        <v>190</v>
      </c>
      <c r="D7" s="18" t="str">
        <f>IF(TestCaseConfig!$B$3="Yes","Yes","No")</f>
        <v>Yes</v>
      </c>
      <c r="E7" s="29" t="str" cm="1">
        <f t="array" ref="E7">_xlfn.XLOOKUP($A7,DataColumnRange,_xlfn.XLOOKUP(E$1,dataRowRange,ActualDataRange))</f>
        <v>sumit.choudhary@delta.com</v>
      </c>
      <c r="F7" s="29" t="str" cm="1">
        <f t="array" ref="F7">_xlfn.XLOOKUP($A7,DataColumnRange,_xlfn.XLOOKUP(F$1,dataRowRange,ActualDataRange))</f>
        <v>Delta2</v>
      </c>
      <c r="G7" s="29" t="b" cm="1">
        <f t="array" ref="G7">_xlfn.XLOOKUP($A7,DataColumnRange,_xlfn.XLOOKUP(G$1,dataRowRange,ActualDataRange))</f>
        <v>1</v>
      </c>
      <c r="H7" s="29" t="str" cm="1">
        <f t="array" ref="H7">_xlfn.XLOOKUP($A7,DataColumnRange,_xlfn.XLOOKUP(H$1,dataRowRange,ActualDataRange))</f>
        <v>NA</v>
      </c>
      <c r="I7" s="29" t="str" cm="1">
        <f t="array" ref="I7">_xlfn.XLOOKUP($A7,DataColumnRange,_xlfn.XLOOKUP(I$1,dataRowRange,ActualDataRange))</f>
        <v>ATL</v>
      </c>
      <c r="J7" s="29" t="str" cm="1">
        <f t="array" ref="J7">_xlfn.XLOOKUP($A7,DataColumnRange,_xlfn.XLOOKUP(J$1,dataRowRange,ActualDataRange))</f>
        <v>MSP</v>
      </c>
      <c r="K7" s="29" t="str" cm="1">
        <f t="array" ref="K7">_xlfn.XLOOKUP($A7,DataColumnRange,_xlfn.XLOOKUP(K$1,dataRowRange,ActualDataRange))</f>
        <v>Fresh 1 - Active container</v>
      </c>
      <c r="L7" s="31" t="str" cm="1">
        <f t="array" ref="L7">_xlfn.XLOOKUP($A7,DataColumnRange,_xlfn.XLOOKUP(L$1,dataRowRange,ActualDataRange))</f>
        <v>Test Perishables</v>
      </c>
      <c r="M7" s="29" cm="1">
        <f t="array" ref="M7">_xlfn.XLOOKUP($A7,DataColumnRange,_xlfn.XLOOKUP(M$1,dataRowRange,ActualDataRange))</f>
        <v>10</v>
      </c>
      <c r="N7" s="29" t="str" cm="1">
        <f t="array" ref="N7">_xlfn.XLOOKUP($A7,DataColumnRange,_xlfn.XLOOKUP(N$1,dataRowRange,ActualDataRange))</f>
        <v>LB</v>
      </c>
      <c r="O7" s="29" cm="1">
        <f t="array" ref="O7">_xlfn.XLOOKUP($A7,DataColumnRange,_xlfn.XLOOKUP(O$1,dataRowRange,ActualDataRange))</f>
        <v>1</v>
      </c>
      <c r="P7" s="29" cm="1">
        <f t="array" ref="P7">_xlfn.XLOOKUP($A7,DataColumnRange,_xlfn.XLOOKUP(P$1,dataRowRange,ActualDataRange))</f>
        <v>10</v>
      </c>
      <c r="Q7" s="29" cm="1">
        <f t="array" ref="Q7">_xlfn.XLOOKUP($A7,DataColumnRange,_xlfn.XLOOKUP(Q$1,dataRowRange,ActualDataRange))</f>
        <v>10</v>
      </c>
      <c r="R7" s="29" cm="1">
        <f t="array" ref="R7">_xlfn.XLOOKUP($A7,DataColumnRange,_xlfn.XLOOKUP(R$1,dataRowRange,ActualDataRange))</f>
        <v>10</v>
      </c>
      <c r="S7" s="29" t="str" cm="1">
        <f t="array" ref="S7">_xlfn.XLOOKUP($A7,DataColumnRange,_xlfn.XLOOKUP(S$1,dataRowRange,ActualDataRange))</f>
        <v>IN</v>
      </c>
      <c r="T7" s="29" t="str" cm="1">
        <f t="array" ref="T7">_xlfn.XLOOKUP($A7,DataColumnRange,_xlfn.XLOOKUP(T$1,dataRowRange,ActualDataRange))</f>
        <v>Cubic Feet</v>
      </c>
      <c r="U7" s="29" t="str" cm="1">
        <f t="array" ref="U7">_xlfn.XLOOKUP($A7,DataColumnRange,_xlfn.XLOOKUP(U$1,dataRowRange,ActualDataRange))</f>
        <v>No</v>
      </c>
      <c r="V7" s="29" t="str" cm="1">
        <f t="array" ref="V7">_xlfn.XLOOKUP($A7,DataColumnRange,_xlfn.XLOOKUP(V$1,dataRowRange,ActualDataRange))</f>
        <v>No</v>
      </c>
      <c r="W7" s="29" t="str" cm="1">
        <f t="array" ref="W7">_xlfn.XLOOKUP($A7,DataColumnRange,_xlfn.XLOOKUP(W$1,dataRowRange,ActualDataRange))</f>
        <v>No</v>
      </c>
      <c r="X7" s="29" cm="1">
        <f t="array" ref="X7">_xlfn.XLOOKUP($A7,DataColumnRange,_xlfn.XLOOKUP(X$1,dataRowRange,ActualDataRange))</f>
        <v>2</v>
      </c>
      <c r="Y7" s="29" t="str" cm="1">
        <f t="array" ref="Y7">_xlfn.XLOOKUP($A7,DataColumnRange,_xlfn.XLOOKUP(Y$1,dataRowRange,ActualDataRange))</f>
        <v>No</v>
      </c>
      <c r="Z7" s="29" t="str" cm="1">
        <f t="array" ref="Z7">_xlfn.XLOOKUP($A7,DataColumnRange,_xlfn.XLOOKUP(Z$1,dataRowRange,ActualDataRange))</f>
        <v>NA</v>
      </c>
      <c r="AA7" s="29" t="str" cm="1">
        <f t="array" ref="AA7">_xlfn.XLOOKUP($A7,DataColumnRange,_xlfn.XLOOKUP(AA$1,dataRowRange,ActualDataRange))</f>
        <v>000260018</v>
      </c>
      <c r="AB7" s="29" t="str" cm="1">
        <f t="array" ref="AB7">_xlfn.XLOOKUP($A7,DataColumnRange,_xlfn.XLOOKUP(AB$1,dataRowRange,ActualDataRange))</f>
        <v>GeneralCargoTemplate</v>
      </c>
      <c r="AC7" s="29" t="str" cm="1">
        <f t="array" ref="AC7">_xlfn.XLOOKUP($A7,DataColumnRange,_xlfn.XLOOKUP(AC$1,dataRowRange,ActualDataRange))</f>
        <v>CreditCard</v>
      </c>
      <c r="AD7" s="29" t="str" cm="1">
        <f t="array" ref="AD7">_xlfn.XLOOKUP($A7,DataColumnRange,_xlfn.XLOOKUP(AD$1,dataRowRange,ActualDataRange))</f>
        <v>NA</v>
      </c>
      <c r="AE7" s="29" t="str" cm="1">
        <f t="array" ref="AE7">_xlfn.XLOOKUP($A7,DataColumnRange,_xlfn.XLOOKUP(AE$1,dataRowRange,ActualDataRange))</f>
        <v>Test1</v>
      </c>
      <c r="AF7" s="29" t="str" cm="1">
        <f t="array" ref="AF7">_xlfn.XLOOKUP($A7,DataColumnRange,_xlfn.XLOOKUP(AF$1,dataRowRange,ActualDataRange))</f>
        <v>Test2</v>
      </c>
      <c r="AG7" s="29" t="str" cm="1">
        <f t="array" ref="AG7">_xlfn.XLOOKUP($A7,DataColumnRange,_xlfn.XLOOKUP(AG$1,dataRowRange,ActualDataRange))</f>
        <v>Atlanta</v>
      </c>
      <c r="AH7" s="29" t="str" cm="1">
        <f t="array" ref="AH7">_xlfn.XLOOKUP($A7,DataColumnRange,_xlfn.XLOOKUP(AH$1,dataRowRange,ActualDataRange))</f>
        <v>Georgia</v>
      </c>
      <c r="AI7" s="29" cm="1">
        <f t="array" ref="AI7">_xlfn.XLOOKUP($A7,DataColumnRange,_xlfn.XLOOKUP(AI$1,dataRowRange,ActualDataRange))</f>
        <v>55055</v>
      </c>
      <c r="AJ7" s="29" t="str" cm="1">
        <f t="array" ref="AJ7">_xlfn.XLOOKUP($A7,DataColumnRange,_xlfn.XLOOKUP(AJ$1,dataRowRange,ActualDataRange))</f>
        <v>171276181</v>
      </c>
      <c r="AK7" s="29" t="str" cm="1">
        <f t="array" ref="AK7">_xlfn.XLOOKUP($A7,DataColumnRange,_xlfn.XLOOKUP(AK$1,dataRowRange,ActualDataRange))</f>
        <v>International</v>
      </c>
      <c r="AL7" s="29" cm="1">
        <f t="array" ref="AL7">_xlfn.XLOOKUP($A7,DataColumnRange,_xlfn.XLOOKUP(AL$1,dataRowRange,ActualDataRange))</f>
        <v>0</v>
      </c>
    </row>
    <row r="8" spans="1:38" ht="17" thickBot="1">
      <c r="A8" s="75" t="s">
        <v>357</v>
      </c>
      <c r="B8" s="33" t="s">
        <v>47</v>
      </c>
      <c r="C8" s="33" t="s">
        <v>190</v>
      </c>
      <c r="D8" s="18" t="str">
        <f>IF(TestCaseConfig!$B$3="Yes","Yes","No")</f>
        <v>Yes</v>
      </c>
      <c r="E8" s="29" t="str" cm="1">
        <f t="array" ref="E8">_xlfn.XLOOKUP($A8,DataColumnRange,_xlfn.XLOOKUP(E$1,dataRowRange,ActualDataRange))</f>
        <v>sumit.choudhary@delta.com</v>
      </c>
      <c r="F8" s="29" t="str" cm="1">
        <f t="array" ref="F8">_xlfn.XLOOKUP($A8,DataColumnRange,_xlfn.XLOOKUP(F$1,dataRowRange,ActualDataRange))</f>
        <v>Delta2</v>
      </c>
      <c r="G8" s="29" t="b" cm="1">
        <f t="array" ref="G8">_xlfn.XLOOKUP($A8,DataColumnRange,_xlfn.XLOOKUP(G$1,dataRowRange,ActualDataRange))</f>
        <v>1</v>
      </c>
      <c r="H8" s="29" t="str" cm="1">
        <f t="array" ref="H8">_xlfn.XLOOKUP($A8,DataColumnRange,_xlfn.XLOOKUP(H$1,dataRowRange,ActualDataRange))</f>
        <v>NA</v>
      </c>
      <c r="I8" s="29" t="str" cm="1">
        <f t="array" ref="I8">_xlfn.XLOOKUP($A8,DataColumnRange,_xlfn.XLOOKUP(I$1,dataRowRange,ActualDataRange))</f>
        <v>JFK</v>
      </c>
      <c r="J8" s="29" t="str" cm="1">
        <f t="array" ref="J8">_xlfn.XLOOKUP($A8,DataColumnRange,_xlfn.XLOOKUP(J$1,dataRowRange,ActualDataRange))</f>
        <v>ATL</v>
      </c>
      <c r="K8" s="29" t="str" cm="1">
        <f t="array" ref="K8">_xlfn.XLOOKUP($A8,DataColumnRange,_xlfn.XLOOKUP(K$1,dataRowRange,ActualDataRange))</f>
        <v>Fresh 2 - Temperature controlled between +2°C to 8°C</v>
      </c>
      <c r="L8" s="31" t="str" cm="1">
        <f t="array" ref="L8">_xlfn.XLOOKUP($A8,DataColumnRange,_xlfn.XLOOKUP(L$1,dataRowRange,ActualDataRange))</f>
        <v>Test Perishables</v>
      </c>
      <c r="M8" s="29" cm="1">
        <f t="array" ref="M8">_xlfn.XLOOKUP($A8,DataColumnRange,_xlfn.XLOOKUP(M$1,dataRowRange,ActualDataRange))</f>
        <v>10</v>
      </c>
      <c r="N8" s="29" t="str" cm="1">
        <f t="array" ref="N8">_xlfn.XLOOKUP($A8,DataColumnRange,_xlfn.XLOOKUP(N$1,dataRowRange,ActualDataRange))</f>
        <v>LB</v>
      </c>
      <c r="O8" s="29" cm="1">
        <f t="array" ref="O8">_xlfn.XLOOKUP($A8,DataColumnRange,_xlfn.XLOOKUP(O$1,dataRowRange,ActualDataRange))</f>
        <v>1</v>
      </c>
      <c r="P8" s="29" cm="1">
        <f t="array" ref="P8">_xlfn.XLOOKUP($A8,DataColumnRange,_xlfn.XLOOKUP(P$1,dataRowRange,ActualDataRange))</f>
        <v>10</v>
      </c>
      <c r="Q8" s="29" cm="1">
        <f t="array" ref="Q8">_xlfn.XLOOKUP($A8,DataColumnRange,_xlfn.XLOOKUP(Q$1,dataRowRange,ActualDataRange))</f>
        <v>10</v>
      </c>
      <c r="R8" s="29" cm="1">
        <f t="array" ref="R8">_xlfn.XLOOKUP($A8,DataColumnRange,_xlfn.XLOOKUP(R$1,dataRowRange,ActualDataRange))</f>
        <v>10</v>
      </c>
      <c r="S8" s="29" t="str" cm="1">
        <f t="array" ref="S8">_xlfn.XLOOKUP($A8,DataColumnRange,_xlfn.XLOOKUP(S$1,dataRowRange,ActualDataRange))</f>
        <v>IN</v>
      </c>
      <c r="T8" s="29" t="str" cm="1">
        <f t="array" ref="T8">_xlfn.XLOOKUP($A8,DataColumnRange,_xlfn.XLOOKUP(T$1,dataRowRange,ActualDataRange))</f>
        <v>Cubic Feet</v>
      </c>
      <c r="U8" s="29" t="str" cm="1">
        <f t="array" ref="U8">_xlfn.XLOOKUP($A8,DataColumnRange,_xlfn.XLOOKUP(U$1,dataRowRange,ActualDataRange))</f>
        <v>No</v>
      </c>
      <c r="V8" s="29" t="str" cm="1">
        <f t="array" ref="V8">_xlfn.XLOOKUP($A8,DataColumnRange,_xlfn.XLOOKUP(V$1,dataRowRange,ActualDataRange))</f>
        <v>No</v>
      </c>
      <c r="W8" s="29" t="str" cm="1">
        <f t="array" ref="W8">_xlfn.XLOOKUP($A8,DataColumnRange,_xlfn.XLOOKUP(W$1,dataRowRange,ActualDataRange))</f>
        <v>No</v>
      </c>
      <c r="X8" s="29" cm="1">
        <f t="array" ref="X8">_xlfn.XLOOKUP($A8,DataColumnRange,_xlfn.XLOOKUP(X$1,dataRowRange,ActualDataRange))</f>
        <v>2</v>
      </c>
      <c r="Y8" s="29" t="str" cm="1">
        <f t="array" ref="Y8">_xlfn.XLOOKUP($A8,DataColumnRange,_xlfn.XLOOKUP(Y$1,dataRowRange,ActualDataRange))</f>
        <v>No</v>
      </c>
      <c r="Z8" s="29" t="str" cm="1">
        <f t="array" ref="Z8">_xlfn.XLOOKUP($A8,DataColumnRange,_xlfn.XLOOKUP(Z$1,dataRowRange,ActualDataRange))</f>
        <v>NA</v>
      </c>
      <c r="AA8" s="29" t="str" cm="1">
        <f t="array" ref="AA8">_xlfn.XLOOKUP($A8,DataColumnRange,_xlfn.XLOOKUP(AA$1,dataRowRange,ActualDataRange))</f>
        <v>000260018</v>
      </c>
      <c r="AB8" s="29" t="str" cm="1">
        <f t="array" ref="AB8">_xlfn.XLOOKUP($A8,DataColumnRange,_xlfn.XLOOKUP(AB$1,dataRowRange,ActualDataRange))</f>
        <v>GeneralCargoTemplate</v>
      </c>
      <c r="AC8" s="29" t="str" cm="1">
        <f t="array" ref="AC8">_xlfn.XLOOKUP($A8,DataColumnRange,_xlfn.XLOOKUP(AC$1,dataRowRange,ActualDataRange))</f>
        <v>CreditCard</v>
      </c>
      <c r="AD8" s="29" t="str" cm="1">
        <f t="array" ref="AD8">_xlfn.XLOOKUP($A8,DataColumnRange,_xlfn.XLOOKUP(AD$1,dataRowRange,ActualDataRange))</f>
        <v>NA</v>
      </c>
      <c r="AE8" s="29" t="str" cm="1">
        <f t="array" ref="AE8">_xlfn.XLOOKUP($A8,DataColumnRange,_xlfn.XLOOKUP(AE$1,dataRowRange,ActualDataRange))</f>
        <v>Test1</v>
      </c>
      <c r="AF8" s="29" t="str" cm="1">
        <f t="array" ref="AF8">_xlfn.XLOOKUP($A8,DataColumnRange,_xlfn.XLOOKUP(AF$1,dataRowRange,ActualDataRange))</f>
        <v>Test2</v>
      </c>
      <c r="AG8" s="29" t="str" cm="1">
        <f t="array" ref="AG8">_xlfn.XLOOKUP($A8,DataColumnRange,_xlfn.XLOOKUP(AG$1,dataRowRange,ActualDataRange))</f>
        <v>Atlanta</v>
      </c>
      <c r="AH8" s="29" t="str" cm="1">
        <f t="array" ref="AH8">_xlfn.XLOOKUP($A8,DataColumnRange,_xlfn.XLOOKUP(AH$1,dataRowRange,ActualDataRange))</f>
        <v>Georgia</v>
      </c>
      <c r="AI8" s="29" cm="1">
        <f t="array" ref="AI8">_xlfn.XLOOKUP($A8,DataColumnRange,_xlfn.XLOOKUP(AI$1,dataRowRange,ActualDataRange))</f>
        <v>55055</v>
      </c>
      <c r="AJ8" s="29" t="str" cm="1">
        <f t="array" ref="AJ8">_xlfn.XLOOKUP($A8,DataColumnRange,_xlfn.XLOOKUP(AJ$1,dataRowRange,ActualDataRange))</f>
        <v>171276181</v>
      </c>
      <c r="AK8" s="29" t="str" cm="1">
        <f t="array" ref="AK8">_xlfn.XLOOKUP($A8,DataColumnRange,_xlfn.XLOOKUP(AK$1,dataRowRange,ActualDataRange))</f>
        <v>International</v>
      </c>
      <c r="AL8" s="29" cm="1">
        <f t="array" ref="AL8">_xlfn.XLOOKUP($A8,DataColumnRange,_xlfn.XLOOKUP(AL$1,dataRowRange,ActualDataRange))</f>
        <v>0</v>
      </c>
    </row>
    <row r="9" spans="1:38" ht="17" thickBot="1">
      <c r="A9" s="75" t="s">
        <v>358</v>
      </c>
      <c r="B9" s="33" t="s">
        <v>47</v>
      </c>
      <c r="C9" s="33" t="s">
        <v>191</v>
      </c>
      <c r="D9" s="18" t="str">
        <f>IF(TestCaseConfig!$B$3="Yes","Yes","No")</f>
        <v>Yes</v>
      </c>
      <c r="E9" s="29" t="str" cm="1">
        <f t="array" ref="E9">_xlfn.XLOOKUP($A9,DataColumnRange,_xlfn.XLOOKUP(E$1,dataRowRange,ActualDataRange))</f>
        <v>sumit.choudhary@delta.com</v>
      </c>
      <c r="F9" s="29" t="str" cm="1">
        <f t="array" ref="F9">_xlfn.XLOOKUP($A9,DataColumnRange,_xlfn.XLOOKUP(F$1,dataRowRange,ActualDataRange))</f>
        <v>Delta2</v>
      </c>
      <c r="G9" s="29" t="b" cm="1">
        <f t="array" ref="G9">_xlfn.XLOOKUP($A9,DataColumnRange,_xlfn.XLOOKUP(G$1,dataRowRange,ActualDataRange))</f>
        <v>1</v>
      </c>
      <c r="H9" s="29" t="str" cm="1">
        <f t="array" ref="H9">_xlfn.XLOOKUP($A9,DataColumnRange,_xlfn.XLOOKUP(H$1,dataRowRange,ActualDataRange))</f>
        <v>NA</v>
      </c>
      <c r="I9" s="29" t="str" cm="1">
        <f t="array" ref="I9">_xlfn.XLOOKUP($A9,DataColumnRange,_xlfn.XLOOKUP(I$1,dataRowRange,ActualDataRange))</f>
        <v>JFK</v>
      </c>
      <c r="J9" s="29" t="str" cm="1">
        <f t="array" ref="J9">_xlfn.XLOOKUP($A9,DataColumnRange,_xlfn.XLOOKUP(J$1,dataRowRange,ActualDataRange))</f>
        <v>DTW</v>
      </c>
      <c r="K9" s="29" t="str" cm="1">
        <f t="array" ref="K9">_xlfn.XLOOKUP($A9,DataColumnRange,_xlfn.XLOOKUP(K$1,dataRowRange,ActualDataRange))</f>
        <v>Fresh 3 - Flowers between +2°C to 25°C</v>
      </c>
      <c r="L9" s="31" t="str" cm="1">
        <f t="array" ref="L9">_xlfn.XLOOKUP($A9,DataColumnRange,_xlfn.XLOOKUP(L$1,dataRowRange,ActualDataRange))</f>
        <v>Test Perishables</v>
      </c>
      <c r="M9" s="29" cm="1">
        <f t="array" ref="M9">_xlfn.XLOOKUP($A9,DataColumnRange,_xlfn.XLOOKUP(M$1,dataRowRange,ActualDataRange))</f>
        <v>10</v>
      </c>
      <c r="N9" s="29" t="str" cm="1">
        <f t="array" ref="N9">_xlfn.XLOOKUP($A9,DataColumnRange,_xlfn.XLOOKUP(N$1,dataRowRange,ActualDataRange))</f>
        <v>LB</v>
      </c>
      <c r="O9" s="29" cm="1">
        <f t="array" ref="O9">_xlfn.XLOOKUP($A9,DataColumnRange,_xlfn.XLOOKUP(O$1,dataRowRange,ActualDataRange))</f>
        <v>1</v>
      </c>
      <c r="P9" s="29" cm="1">
        <f t="array" ref="P9">_xlfn.XLOOKUP($A9,DataColumnRange,_xlfn.XLOOKUP(P$1,dataRowRange,ActualDataRange))</f>
        <v>10</v>
      </c>
      <c r="Q9" s="29" cm="1">
        <f t="array" ref="Q9">_xlfn.XLOOKUP($A9,DataColumnRange,_xlfn.XLOOKUP(Q$1,dataRowRange,ActualDataRange))</f>
        <v>10</v>
      </c>
      <c r="R9" s="29" cm="1">
        <f t="array" ref="R9">_xlfn.XLOOKUP($A9,DataColumnRange,_xlfn.XLOOKUP(R$1,dataRowRange,ActualDataRange))</f>
        <v>10</v>
      </c>
      <c r="S9" s="29" t="str" cm="1">
        <f t="array" ref="S9">_xlfn.XLOOKUP($A9,DataColumnRange,_xlfn.XLOOKUP(S$1,dataRowRange,ActualDataRange))</f>
        <v>IN</v>
      </c>
      <c r="T9" s="29" t="str" cm="1">
        <f t="array" ref="T9">_xlfn.XLOOKUP($A9,DataColumnRange,_xlfn.XLOOKUP(T$1,dataRowRange,ActualDataRange))</f>
        <v>Cubic Feet</v>
      </c>
      <c r="U9" s="29" t="str" cm="1">
        <f t="array" ref="U9">_xlfn.XLOOKUP($A9,DataColumnRange,_xlfn.XLOOKUP(U$1,dataRowRange,ActualDataRange))</f>
        <v>No</v>
      </c>
      <c r="V9" s="29" t="str" cm="1">
        <f t="array" ref="V9">_xlfn.XLOOKUP($A9,DataColumnRange,_xlfn.XLOOKUP(V$1,dataRowRange,ActualDataRange))</f>
        <v>No</v>
      </c>
      <c r="W9" s="29" t="str" cm="1">
        <f t="array" ref="W9">_xlfn.XLOOKUP($A9,DataColumnRange,_xlfn.XLOOKUP(W$1,dataRowRange,ActualDataRange))</f>
        <v>No</v>
      </c>
      <c r="X9" s="29" cm="1">
        <f t="array" ref="X9">_xlfn.XLOOKUP($A9,DataColumnRange,_xlfn.XLOOKUP(X$1,dataRowRange,ActualDataRange))</f>
        <v>2</v>
      </c>
      <c r="Y9" s="29" t="str" cm="1">
        <f t="array" ref="Y9">_xlfn.XLOOKUP($A9,DataColumnRange,_xlfn.XLOOKUP(Y$1,dataRowRange,ActualDataRange))</f>
        <v>No</v>
      </c>
      <c r="Z9" s="29" t="str" cm="1">
        <f t="array" ref="Z9">_xlfn.XLOOKUP($A9,DataColumnRange,_xlfn.XLOOKUP(Z$1,dataRowRange,ActualDataRange))</f>
        <v>NA</v>
      </c>
      <c r="AA9" s="29" t="str" cm="1">
        <f t="array" ref="AA9">_xlfn.XLOOKUP($A9,DataColumnRange,_xlfn.XLOOKUP(AA$1,dataRowRange,ActualDataRange))</f>
        <v>000260018</v>
      </c>
      <c r="AB9" s="29" t="str" cm="1">
        <f t="array" ref="AB9">_xlfn.XLOOKUP($A9,DataColumnRange,_xlfn.XLOOKUP(AB$1,dataRowRange,ActualDataRange))</f>
        <v>GeneralCargoTemplate</v>
      </c>
      <c r="AC9" s="29" t="str" cm="1">
        <f t="array" ref="AC9">_xlfn.XLOOKUP($A9,DataColumnRange,_xlfn.XLOOKUP(AC$1,dataRowRange,ActualDataRange))</f>
        <v>CreditCard</v>
      </c>
      <c r="AD9" s="29" t="str" cm="1">
        <f t="array" ref="AD9">_xlfn.XLOOKUP($A9,DataColumnRange,_xlfn.XLOOKUP(AD$1,dataRowRange,ActualDataRange))</f>
        <v>NA</v>
      </c>
      <c r="AE9" s="29" t="str" cm="1">
        <f t="array" ref="AE9">_xlfn.XLOOKUP($A9,DataColumnRange,_xlfn.XLOOKUP(AE$1,dataRowRange,ActualDataRange))</f>
        <v>Test1</v>
      </c>
      <c r="AF9" s="29" t="str" cm="1">
        <f t="array" ref="AF9">_xlfn.XLOOKUP($A9,DataColumnRange,_xlfn.XLOOKUP(AF$1,dataRowRange,ActualDataRange))</f>
        <v>Test2</v>
      </c>
      <c r="AG9" s="29" t="str" cm="1">
        <f t="array" ref="AG9">_xlfn.XLOOKUP($A9,DataColumnRange,_xlfn.XLOOKUP(AG$1,dataRowRange,ActualDataRange))</f>
        <v>Atlanta</v>
      </c>
      <c r="AH9" s="29" t="str" cm="1">
        <f t="array" ref="AH9">_xlfn.XLOOKUP($A9,DataColumnRange,_xlfn.XLOOKUP(AH$1,dataRowRange,ActualDataRange))</f>
        <v>Georgia</v>
      </c>
      <c r="AI9" s="29" cm="1">
        <f t="array" ref="AI9">_xlfn.XLOOKUP($A9,DataColumnRange,_xlfn.XLOOKUP(AI$1,dataRowRange,ActualDataRange))</f>
        <v>55055</v>
      </c>
      <c r="AJ9" s="29" t="str" cm="1">
        <f t="array" ref="AJ9">_xlfn.XLOOKUP($A9,DataColumnRange,_xlfn.XLOOKUP(AJ$1,dataRowRange,ActualDataRange))</f>
        <v>171276181</v>
      </c>
      <c r="AK9" s="29" t="str" cm="1">
        <f t="array" ref="AK9">_xlfn.XLOOKUP($A9,DataColumnRange,_xlfn.XLOOKUP(AK$1,dataRowRange,ActualDataRange))</f>
        <v>International</v>
      </c>
      <c r="AL9" s="29" cm="1">
        <f t="array" ref="AL9">_xlfn.XLOOKUP($A9,DataColumnRange,_xlfn.XLOOKUP(AL$1,dataRowRange,ActualDataRange))</f>
        <v>0</v>
      </c>
    </row>
    <row r="10" spans="1:38" ht="17" thickBot="1">
      <c r="A10" s="75" t="s">
        <v>359</v>
      </c>
      <c r="B10" s="33" t="s">
        <v>47</v>
      </c>
      <c r="C10" s="33" t="s">
        <v>166</v>
      </c>
      <c r="D10" s="18" t="str">
        <f>IF(TestCaseConfig!$B$3="Yes","Yes","No")</f>
        <v>Yes</v>
      </c>
      <c r="E10" s="29" t="str" cm="1">
        <f t="array" ref="E10">_xlfn.XLOOKUP($A10,DataColumnRange,_xlfn.XLOOKUP(E$1,dataRowRange,ActualDataRange))</f>
        <v>sumit.choudhary@delta.com</v>
      </c>
      <c r="F10" s="29" t="str" cm="1">
        <f t="array" ref="F10">_xlfn.XLOOKUP($A10,DataColumnRange,_xlfn.XLOOKUP(F$1,dataRowRange,ActualDataRange))</f>
        <v>Delta2</v>
      </c>
      <c r="G10" s="29" t="b" cm="1">
        <f t="array" ref="G10">_xlfn.XLOOKUP($A10,DataColumnRange,_xlfn.XLOOKUP(G$1,dataRowRange,ActualDataRange))</f>
        <v>1</v>
      </c>
      <c r="H10" s="29" t="str" cm="1">
        <f t="array" ref="H10">_xlfn.XLOOKUP($A10,DataColumnRange,_xlfn.XLOOKUP(H$1,dataRowRange,ActualDataRange))</f>
        <v>NA</v>
      </c>
      <c r="I10" s="29" t="str" cm="1">
        <f t="array" ref="I10">_xlfn.XLOOKUP($A10,DataColumnRange,_xlfn.XLOOKUP(I$1,dataRowRange,ActualDataRange))</f>
        <v>ATL</v>
      </c>
      <c r="J10" s="29" t="str" cm="1">
        <f t="array" ref="J10">_xlfn.XLOOKUP($A10,DataColumnRange,_xlfn.XLOOKUP(J$1,dataRowRange,ActualDataRange))</f>
        <v>MSP</v>
      </c>
      <c r="K10" s="29" t="str" cm="1">
        <f t="array" ref="K10">_xlfn.XLOOKUP($A10,DataColumnRange,_xlfn.XLOOKUP(K$1,dataRowRange,ActualDataRange))</f>
        <v>Fresh 3 - Foodstuffs between +2°C to 25°C</v>
      </c>
      <c r="L10" s="31" t="str" cm="1">
        <f t="array" ref="L10">_xlfn.XLOOKUP($A10,DataColumnRange,_xlfn.XLOOKUP(L$1,dataRowRange,ActualDataRange))</f>
        <v>Test Perishables</v>
      </c>
      <c r="M10" s="29" cm="1">
        <f t="array" ref="M10">_xlfn.XLOOKUP($A10,DataColumnRange,_xlfn.XLOOKUP(M$1,dataRowRange,ActualDataRange))</f>
        <v>10</v>
      </c>
      <c r="N10" s="29" t="str" cm="1">
        <f t="array" ref="N10">_xlfn.XLOOKUP($A10,DataColumnRange,_xlfn.XLOOKUP(N$1,dataRowRange,ActualDataRange))</f>
        <v>LB</v>
      </c>
      <c r="O10" s="29" cm="1">
        <f t="array" ref="O10">_xlfn.XLOOKUP($A10,DataColumnRange,_xlfn.XLOOKUP(O$1,dataRowRange,ActualDataRange))</f>
        <v>1</v>
      </c>
      <c r="P10" s="29" cm="1">
        <f t="array" ref="P10">_xlfn.XLOOKUP($A10,DataColumnRange,_xlfn.XLOOKUP(P$1,dataRowRange,ActualDataRange))</f>
        <v>10</v>
      </c>
      <c r="Q10" s="29" cm="1">
        <f t="array" ref="Q10">_xlfn.XLOOKUP($A10,DataColumnRange,_xlfn.XLOOKUP(Q$1,dataRowRange,ActualDataRange))</f>
        <v>10</v>
      </c>
      <c r="R10" s="29" cm="1">
        <f t="array" ref="R10">_xlfn.XLOOKUP($A10,DataColumnRange,_xlfn.XLOOKUP(R$1,dataRowRange,ActualDataRange))</f>
        <v>10</v>
      </c>
      <c r="S10" s="29" t="str" cm="1">
        <f t="array" ref="S10">_xlfn.XLOOKUP($A10,DataColumnRange,_xlfn.XLOOKUP(S$1,dataRowRange,ActualDataRange))</f>
        <v>IN</v>
      </c>
      <c r="T10" s="29" t="str" cm="1">
        <f t="array" ref="T10">_xlfn.XLOOKUP($A10,DataColumnRange,_xlfn.XLOOKUP(T$1,dataRowRange,ActualDataRange))</f>
        <v>Cubic Feet</v>
      </c>
      <c r="U10" s="29" t="str" cm="1">
        <f t="array" ref="U10">_xlfn.XLOOKUP($A10,DataColumnRange,_xlfn.XLOOKUP(U$1,dataRowRange,ActualDataRange))</f>
        <v>No</v>
      </c>
      <c r="V10" s="29" t="str" cm="1">
        <f t="array" ref="V10">_xlfn.XLOOKUP($A10,DataColumnRange,_xlfn.XLOOKUP(V$1,dataRowRange,ActualDataRange))</f>
        <v>No</v>
      </c>
      <c r="W10" s="29" t="str" cm="1">
        <f t="array" ref="W10">_xlfn.XLOOKUP($A10,DataColumnRange,_xlfn.XLOOKUP(W$1,dataRowRange,ActualDataRange))</f>
        <v>No</v>
      </c>
      <c r="X10" s="29" cm="1">
        <f t="array" ref="X10">_xlfn.XLOOKUP($A10,DataColumnRange,_xlfn.XLOOKUP(X$1,dataRowRange,ActualDataRange))</f>
        <v>2</v>
      </c>
      <c r="Y10" s="29" t="str" cm="1">
        <f t="array" ref="Y10">_xlfn.XLOOKUP($A10,DataColumnRange,_xlfn.XLOOKUP(Y$1,dataRowRange,ActualDataRange))</f>
        <v>No</v>
      </c>
      <c r="Z10" s="29" t="str" cm="1">
        <f t="array" ref="Z10">_xlfn.XLOOKUP($A10,DataColumnRange,_xlfn.XLOOKUP(Z$1,dataRowRange,ActualDataRange))</f>
        <v>NA</v>
      </c>
      <c r="AA10" s="29" t="str" cm="1">
        <f t="array" ref="AA10">_xlfn.XLOOKUP($A10,DataColumnRange,_xlfn.XLOOKUP(AA$1,dataRowRange,ActualDataRange))</f>
        <v>000260018</v>
      </c>
      <c r="AB10" s="29" t="str" cm="1">
        <f t="array" ref="AB10">_xlfn.XLOOKUP($A10,DataColumnRange,_xlfn.XLOOKUP(AB$1,dataRowRange,ActualDataRange))</f>
        <v>GeneralCargoTemplate</v>
      </c>
      <c r="AC10" s="29" t="str" cm="1">
        <f t="array" ref="AC10">_xlfn.XLOOKUP($A10,DataColumnRange,_xlfn.XLOOKUP(AC$1,dataRowRange,ActualDataRange))</f>
        <v>CreditCard</v>
      </c>
      <c r="AD10" s="29" t="str" cm="1">
        <f t="array" ref="AD10">_xlfn.XLOOKUP($A10,DataColumnRange,_xlfn.XLOOKUP(AD$1,dataRowRange,ActualDataRange))</f>
        <v>NA</v>
      </c>
      <c r="AE10" s="29" t="str" cm="1">
        <f t="array" ref="AE10">_xlfn.XLOOKUP($A10,DataColumnRange,_xlfn.XLOOKUP(AE$1,dataRowRange,ActualDataRange))</f>
        <v>Test1</v>
      </c>
      <c r="AF10" s="29" t="str" cm="1">
        <f t="array" ref="AF10">_xlfn.XLOOKUP($A10,DataColumnRange,_xlfn.XLOOKUP(AF$1,dataRowRange,ActualDataRange))</f>
        <v>Test2</v>
      </c>
      <c r="AG10" s="29" t="str" cm="1">
        <f t="array" ref="AG10">_xlfn.XLOOKUP($A10,DataColumnRange,_xlfn.XLOOKUP(AG$1,dataRowRange,ActualDataRange))</f>
        <v>Atlanta</v>
      </c>
      <c r="AH10" s="29" t="str" cm="1">
        <f t="array" ref="AH10">_xlfn.XLOOKUP($A10,DataColumnRange,_xlfn.XLOOKUP(AH$1,dataRowRange,ActualDataRange))</f>
        <v>Georgia</v>
      </c>
      <c r="AI10" s="29" cm="1">
        <f t="array" ref="AI10">_xlfn.XLOOKUP($A10,DataColumnRange,_xlfn.XLOOKUP(AI$1,dataRowRange,ActualDataRange))</f>
        <v>55055</v>
      </c>
      <c r="AJ10" s="29" t="str" cm="1">
        <f t="array" ref="AJ10">_xlfn.XLOOKUP($A10,DataColumnRange,_xlfn.XLOOKUP(AJ$1,dataRowRange,ActualDataRange))</f>
        <v>171276181</v>
      </c>
      <c r="AK10" s="29" t="str" cm="1">
        <f t="array" ref="AK10">_xlfn.XLOOKUP($A10,DataColumnRange,_xlfn.XLOOKUP(AK$1,dataRowRange,ActualDataRange))</f>
        <v>International</v>
      </c>
      <c r="AL10" s="29" cm="1">
        <f t="array" ref="AL10">_xlfn.XLOOKUP($A10,DataColumnRange,_xlfn.XLOOKUP(AL$1,dataRowRange,ActualDataRange))</f>
        <v>0</v>
      </c>
    </row>
    <row r="11" spans="1:38" ht="17" thickBot="1">
      <c r="A11" s="75" t="s">
        <v>360</v>
      </c>
      <c r="B11" s="33" t="s">
        <v>47</v>
      </c>
      <c r="C11" s="33" t="s">
        <v>163</v>
      </c>
      <c r="D11" s="18" t="str">
        <f>IF(TestCaseConfig!$B$3="Yes","Yes","No")</f>
        <v>Yes</v>
      </c>
      <c r="E11" s="29" t="str" cm="1">
        <f t="array" ref="E11">_xlfn.XLOOKUP($A11,DataColumnRange,_xlfn.XLOOKUP(E$1,dataRowRange,ActualDataRange))</f>
        <v>sumit.choudhary@delta.com</v>
      </c>
      <c r="F11" s="29" t="str" cm="1">
        <f t="array" ref="F11">_xlfn.XLOOKUP($A11,DataColumnRange,_xlfn.XLOOKUP(F$1,dataRowRange,ActualDataRange))</f>
        <v>Delta2</v>
      </c>
      <c r="G11" s="29" t="b" cm="1">
        <f t="array" ref="G11">_xlfn.XLOOKUP($A11,DataColumnRange,_xlfn.XLOOKUP(G$1,dataRowRange,ActualDataRange))</f>
        <v>1</v>
      </c>
      <c r="H11" s="29" t="str" cm="1">
        <f t="array" ref="H11">_xlfn.XLOOKUP($A11,DataColumnRange,_xlfn.XLOOKUP(H$1,dataRowRange,ActualDataRange))</f>
        <v>NA</v>
      </c>
      <c r="I11" s="29" t="str" cm="1">
        <f t="array" ref="I11">_xlfn.XLOOKUP($A11,DataColumnRange,_xlfn.XLOOKUP(I$1,dataRowRange,ActualDataRange))</f>
        <v>JFK</v>
      </c>
      <c r="J11" s="29" t="str" cm="1">
        <f t="array" ref="J11">_xlfn.XLOOKUP($A11,DataColumnRange,_xlfn.XLOOKUP(J$1,dataRowRange,ActualDataRange))</f>
        <v>ATL</v>
      </c>
      <c r="K11" s="29" t="str" cm="1">
        <f t="array" ref="K11">_xlfn.XLOOKUP($A11,DataColumnRange,_xlfn.XLOOKUP(K$1,dataRowRange,ActualDataRange))</f>
        <v>Fresh 3 - Seafood between +2°C to 25°C</v>
      </c>
      <c r="L11" s="31" t="str" cm="1">
        <f t="array" ref="L11">_xlfn.XLOOKUP($A11,DataColumnRange,_xlfn.XLOOKUP(L$1,dataRowRange,ActualDataRange))</f>
        <v>Test Perishables</v>
      </c>
      <c r="M11" s="29" cm="1">
        <f t="array" ref="M11">_xlfn.XLOOKUP($A11,DataColumnRange,_xlfn.XLOOKUP(M$1,dataRowRange,ActualDataRange))</f>
        <v>10</v>
      </c>
      <c r="N11" s="29" t="str" cm="1">
        <f t="array" ref="N11">_xlfn.XLOOKUP($A11,DataColumnRange,_xlfn.XLOOKUP(N$1,dataRowRange,ActualDataRange))</f>
        <v>LB</v>
      </c>
      <c r="O11" s="29" cm="1">
        <f t="array" ref="O11">_xlfn.XLOOKUP($A11,DataColumnRange,_xlfn.XLOOKUP(O$1,dataRowRange,ActualDataRange))</f>
        <v>1</v>
      </c>
      <c r="P11" s="29" cm="1">
        <f t="array" ref="P11">_xlfn.XLOOKUP($A11,DataColumnRange,_xlfn.XLOOKUP(P$1,dataRowRange,ActualDataRange))</f>
        <v>10</v>
      </c>
      <c r="Q11" s="29" cm="1">
        <f t="array" ref="Q11">_xlfn.XLOOKUP($A11,DataColumnRange,_xlfn.XLOOKUP(Q$1,dataRowRange,ActualDataRange))</f>
        <v>10</v>
      </c>
      <c r="R11" s="29" cm="1">
        <f t="array" ref="R11">_xlfn.XLOOKUP($A11,DataColumnRange,_xlfn.XLOOKUP(R$1,dataRowRange,ActualDataRange))</f>
        <v>10</v>
      </c>
      <c r="S11" s="29" t="str" cm="1">
        <f t="array" ref="S11">_xlfn.XLOOKUP($A11,DataColumnRange,_xlfn.XLOOKUP(S$1,dataRowRange,ActualDataRange))</f>
        <v>IN</v>
      </c>
      <c r="T11" s="29" t="str" cm="1">
        <f t="array" ref="T11">_xlfn.XLOOKUP($A11,DataColumnRange,_xlfn.XLOOKUP(T$1,dataRowRange,ActualDataRange))</f>
        <v>Cubic Feet</v>
      </c>
      <c r="U11" s="29" t="str" cm="1">
        <f t="array" ref="U11">_xlfn.XLOOKUP($A11,DataColumnRange,_xlfn.XLOOKUP(U$1,dataRowRange,ActualDataRange))</f>
        <v>No</v>
      </c>
      <c r="V11" s="29" t="str" cm="1">
        <f t="array" ref="V11">_xlfn.XLOOKUP($A11,DataColumnRange,_xlfn.XLOOKUP(V$1,dataRowRange,ActualDataRange))</f>
        <v>No</v>
      </c>
      <c r="W11" s="29" t="str" cm="1">
        <f t="array" ref="W11">_xlfn.XLOOKUP($A11,DataColumnRange,_xlfn.XLOOKUP(W$1,dataRowRange,ActualDataRange))</f>
        <v>No</v>
      </c>
      <c r="X11" s="29" cm="1">
        <f t="array" ref="X11">_xlfn.XLOOKUP($A11,DataColumnRange,_xlfn.XLOOKUP(X$1,dataRowRange,ActualDataRange))</f>
        <v>2</v>
      </c>
      <c r="Y11" s="29" t="str" cm="1">
        <f t="array" ref="Y11">_xlfn.XLOOKUP($A11,DataColumnRange,_xlfn.XLOOKUP(Y$1,dataRowRange,ActualDataRange))</f>
        <v>No</v>
      </c>
      <c r="Z11" s="29" t="str" cm="1">
        <f t="array" ref="Z11">_xlfn.XLOOKUP($A11,DataColumnRange,_xlfn.XLOOKUP(Z$1,dataRowRange,ActualDataRange))</f>
        <v>NA</v>
      </c>
      <c r="AA11" s="29" t="str" cm="1">
        <f t="array" ref="AA11">_xlfn.XLOOKUP($A11,DataColumnRange,_xlfn.XLOOKUP(AA$1,dataRowRange,ActualDataRange))</f>
        <v>000260018</v>
      </c>
      <c r="AB11" s="29" t="str" cm="1">
        <f t="array" ref="AB11">_xlfn.XLOOKUP($A11,DataColumnRange,_xlfn.XLOOKUP(AB$1,dataRowRange,ActualDataRange))</f>
        <v>GeneralCargoTemplate</v>
      </c>
      <c r="AC11" s="29" t="str" cm="1">
        <f t="array" ref="AC11">_xlfn.XLOOKUP($A11,DataColumnRange,_xlfn.XLOOKUP(AC$1,dataRowRange,ActualDataRange))</f>
        <v>CreditCard</v>
      </c>
      <c r="AD11" s="29" t="str" cm="1">
        <f t="array" ref="AD11">_xlfn.XLOOKUP($A11,DataColumnRange,_xlfn.XLOOKUP(AD$1,dataRowRange,ActualDataRange))</f>
        <v>NA</v>
      </c>
      <c r="AE11" s="29" t="str" cm="1">
        <f t="array" ref="AE11">_xlfn.XLOOKUP($A11,DataColumnRange,_xlfn.XLOOKUP(AE$1,dataRowRange,ActualDataRange))</f>
        <v>Test1</v>
      </c>
      <c r="AF11" s="29" t="str" cm="1">
        <f t="array" ref="AF11">_xlfn.XLOOKUP($A11,DataColumnRange,_xlfn.XLOOKUP(AF$1,dataRowRange,ActualDataRange))</f>
        <v>Test2</v>
      </c>
      <c r="AG11" s="29" t="str" cm="1">
        <f t="array" ref="AG11">_xlfn.XLOOKUP($A11,DataColumnRange,_xlfn.XLOOKUP(AG$1,dataRowRange,ActualDataRange))</f>
        <v>Atlanta</v>
      </c>
      <c r="AH11" s="29" t="str" cm="1">
        <f t="array" ref="AH11">_xlfn.XLOOKUP($A11,DataColumnRange,_xlfn.XLOOKUP(AH$1,dataRowRange,ActualDataRange))</f>
        <v>Georgia</v>
      </c>
      <c r="AI11" s="29" cm="1">
        <f t="array" ref="AI11">_xlfn.XLOOKUP($A11,DataColumnRange,_xlfn.XLOOKUP(AI$1,dataRowRange,ActualDataRange))</f>
        <v>55055</v>
      </c>
      <c r="AJ11" s="29" t="str" cm="1">
        <f t="array" ref="AJ11">_xlfn.XLOOKUP($A11,DataColumnRange,_xlfn.XLOOKUP(AJ$1,dataRowRange,ActualDataRange))</f>
        <v>171276181</v>
      </c>
      <c r="AK11" s="29" t="str" cm="1">
        <f t="array" ref="AK11">_xlfn.XLOOKUP($A11,DataColumnRange,_xlfn.XLOOKUP(AK$1,dataRowRange,ActualDataRange))</f>
        <v>International</v>
      </c>
      <c r="AL11" s="29" cm="1">
        <f t="array" ref="AL11">_xlfn.XLOOKUP($A11,DataColumnRange,_xlfn.XLOOKUP(AL$1,dataRowRange,ActualDataRange))</f>
        <v>0</v>
      </c>
    </row>
  </sheetData>
  <hyperlinks>
    <hyperlink ref="A1" location="TestCaseConfig!A1" display="TestCases" xr:uid="{77C1A1E9-9BD5-C34F-BF62-3E3926F3D0EF}"/>
    <hyperlink ref="D2" location="AdvBkngSTD!A1" display="AdvBkngSTD" xr:uid="{AD34DE54-3D80-C848-B52E-9A7D63028517}"/>
    <hyperlink ref="D3:D6" location="AdvBkngSTD!A1" display="AdvBkngSTD" xr:uid="{F467BDCE-716E-154F-BAD3-330E037A68C5}"/>
    <hyperlink ref="D7:D11" location="AdvBkngSTD!A1" display="AdvBkngSTD" xr:uid="{C5AB6A67-A0F5-0441-B739-A5349F5C6B58}"/>
  </hyperlink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0DB7-4DD6-624F-9EA1-30DDDFA58DD7}">
  <dimension ref="A1:AL11"/>
  <sheetViews>
    <sheetView topLeftCell="M1" zoomScaleNormal="100" workbookViewId="0">
      <selection activeCell="A21" sqref="A21"/>
    </sheetView>
  </sheetViews>
  <sheetFormatPr defaultColWidth="10.83203125" defaultRowHeight="15.5"/>
  <cols>
    <col min="1" max="1" width="145.33203125" style="11" bestFit="1" customWidth="1"/>
    <col min="2" max="2" width="16" style="11" bestFit="1" customWidth="1"/>
    <col min="3" max="3" width="23.33203125" style="11" bestFit="1" customWidth="1"/>
    <col min="4" max="4" width="23.33203125" style="11" customWidth="1"/>
    <col min="5" max="5" width="23.83203125" style="11" bestFit="1" customWidth="1"/>
    <col min="6" max="10" width="10.83203125" style="11"/>
    <col min="11" max="11" width="49.08203125" style="11" bestFit="1" customWidth="1"/>
    <col min="12" max="12" width="18.33203125" style="28" bestFit="1" customWidth="1"/>
    <col min="13" max="16384" width="10.83203125" style="11"/>
  </cols>
  <sheetData>
    <row r="1" spans="1:38">
      <c r="A1" s="19" t="s">
        <v>134</v>
      </c>
      <c r="B1" s="20" t="s">
        <v>2</v>
      </c>
      <c r="C1" s="20" t="s">
        <v>24</v>
      </c>
      <c r="D1" s="20" t="s">
        <v>110</v>
      </c>
      <c r="E1" s="20" t="s">
        <v>122</v>
      </c>
      <c r="F1" s="20" t="s">
        <v>123</v>
      </c>
      <c r="G1" s="21" t="s">
        <v>101</v>
      </c>
      <c r="H1" s="20" t="s">
        <v>32</v>
      </c>
      <c r="I1" s="20" t="s">
        <v>140</v>
      </c>
      <c r="J1" s="20" t="s">
        <v>141</v>
      </c>
      <c r="K1" s="20" t="s">
        <v>211</v>
      </c>
      <c r="L1" s="27" t="s">
        <v>196</v>
      </c>
      <c r="M1" s="25" t="s">
        <v>146</v>
      </c>
      <c r="N1" s="20" t="s">
        <v>144</v>
      </c>
      <c r="O1" s="27" t="s">
        <v>150</v>
      </c>
      <c r="P1" s="20" t="s">
        <v>147</v>
      </c>
      <c r="Q1" s="20" t="s">
        <v>148</v>
      </c>
      <c r="R1" s="26" t="s">
        <v>149</v>
      </c>
      <c r="S1" s="20" t="s">
        <v>151</v>
      </c>
      <c r="T1" s="20" t="s">
        <v>5</v>
      </c>
      <c r="U1" s="20" t="s">
        <v>6</v>
      </c>
      <c r="V1" s="20" t="s">
        <v>7</v>
      </c>
      <c r="W1" s="20" t="s">
        <v>8</v>
      </c>
      <c r="X1" s="20" t="s">
        <v>10</v>
      </c>
      <c r="Y1" s="20" t="s">
        <v>56</v>
      </c>
      <c r="Z1" s="20" t="s">
        <v>59</v>
      </c>
      <c r="AA1" s="20" t="s">
        <v>11</v>
      </c>
      <c r="AB1" s="20" t="s">
        <v>12</v>
      </c>
      <c r="AC1" s="20" t="s">
        <v>13</v>
      </c>
      <c r="AD1" s="20" t="s">
        <v>40</v>
      </c>
      <c r="AE1" s="20" t="s">
        <v>153</v>
      </c>
      <c r="AF1" s="20" t="s">
        <v>154</v>
      </c>
      <c r="AG1" s="20" t="s">
        <v>155</v>
      </c>
      <c r="AH1" s="20" t="s">
        <v>156</v>
      </c>
      <c r="AI1" s="25" t="s">
        <v>157</v>
      </c>
      <c r="AJ1" s="20" t="s">
        <v>102</v>
      </c>
      <c r="AK1" s="20" t="s">
        <v>207</v>
      </c>
      <c r="AL1" s="20" t="s">
        <v>73</v>
      </c>
    </row>
    <row r="2" spans="1:38" ht="17" thickBot="1">
      <c r="A2" s="75" t="s">
        <v>361</v>
      </c>
      <c r="B2" s="33" t="s">
        <v>58</v>
      </c>
      <c r="C2" s="33" t="s">
        <v>176</v>
      </c>
      <c r="D2" s="24" t="str">
        <f>IF(TestCaseConfig!$B$3="Yes","Yes","No")</f>
        <v>Yes</v>
      </c>
      <c r="E2" s="31" t="str" cm="1">
        <f t="array" ref="E2">_xlfn.XLOOKUP($A2,DataColumnRange,_xlfn.XLOOKUP(E$1,dataRowRange,ActualDataRange))</f>
        <v>sumit.choudhary@delta.com</v>
      </c>
      <c r="F2" s="31" t="str" cm="1">
        <f t="array" ref="F2">_xlfn.XLOOKUP($A2,DataColumnRange,_xlfn.XLOOKUP(F$1,dataRowRange,ActualDataRange))</f>
        <v>Delta2</v>
      </c>
      <c r="G2" s="31" t="b" cm="1">
        <f t="array" ref="G2">_xlfn.XLOOKUP($A2,DataColumnRange,_xlfn.XLOOKUP(G$1,dataRowRange,ActualDataRange))</f>
        <v>1</v>
      </c>
      <c r="H2" s="31" t="str" cm="1">
        <f t="array" ref="H2">_xlfn.XLOOKUP($A2,DataColumnRange,_xlfn.XLOOKUP(H$1,dataRowRange,ActualDataRange))</f>
        <v>NA</v>
      </c>
      <c r="I2" s="31" t="str" cm="1">
        <f t="array" ref="I2">_xlfn.XLOOKUP($A2,DataColumnRange,_xlfn.XLOOKUP(I$1,dataRowRange,ActualDataRange))</f>
        <v>JFK</v>
      </c>
      <c r="J2" s="31" t="str" cm="1">
        <f t="array" ref="J2">_xlfn.XLOOKUP($A2,DataColumnRange,_xlfn.XLOOKUP(J$1,dataRowRange,ActualDataRange))</f>
        <v>ATL</v>
      </c>
      <c r="K2" s="31" t="str" cm="1">
        <f t="array" ref="K2">_xlfn.XLOOKUP($A2,DataColumnRange,_xlfn.XLOOKUP(K$1,dataRowRange,ActualDataRange))</f>
        <v>Pharma 1 - Active Container</v>
      </c>
      <c r="L2" s="31" t="str" cm="1">
        <f t="array" ref="L2">_xlfn.XLOOKUP($A2,DataColumnRange,_xlfn.XLOOKUP(L$1,dataRowRange,ActualDataRange))</f>
        <v>Test Pharma</v>
      </c>
      <c r="M2" s="31" cm="1">
        <f t="array" ref="M2">_xlfn.XLOOKUP($A2,DataColumnRange,_xlfn.XLOOKUP(M$1,dataRowRange,ActualDataRange))</f>
        <v>10</v>
      </c>
      <c r="N2" s="31" t="str" cm="1">
        <f t="array" ref="N2">_xlfn.XLOOKUP($A2,DataColumnRange,_xlfn.XLOOKUP(N$1,dataRowRange,ActualDataRange))</f>
        <v>LB</v>
      </c>
      <c r="O2" s="31" cm="1">
        <f t="array" ref="O2">_xlfn.XLOOKUP($A2,DataColumnRange,_xlfn.XLOOKUP(O$1,dataRowRange,ActualDataRange))</f>
        <v>1</v>
      </c>
      <c r="P2" s="31" cm="1">
        <f t="array" ref="P2">_xlfn.XLOOKUP($A2,DataColumnRange,_xlfn.XLOOKUP(P$1,dataRowRange,ActualDataRange))</f>
        <v>10</v>
      </c>
      <c r="Q2" s="31" cm="1">
        <f t="array" ref="Q2">_xlfn.XLOOKUP($A2,DataColumnRange,_xlfn.XLOOKUP(Q$1,dataRowRange,ActualDataRange))</f>
        <v>10</v>
      </c>
      <c r="R2" s="31" cm="1">
        <f t="array" ref="R2">_xlfn.XLOOKUP($A2,DataColumnRange,_xlfn.XLOOKUP(R$1,dataRowRange,ActualDataRange))</f>
        <v>10</v>
      </c>
      <c r="S2" s="31" t="str" cm="1">
        <f t="array" ref="S2">_xlfn.XLOOKUP($A2,DataColumnRange,_xlfn.XLOOKUP(S$1,dataRowRange,ActualDataRange))</f>
        <v>IN</v>
      </c>
      <c r="T2" s="31" t="str" cm="1">
        <f t="array" ref="T2">_xlfn.XLOOKUP($A2,DataColumnRange,_xlfn.XLOOKUP(T$1,dataRowRange,ActualDataRange))</f>
        <v>Cubic Feet</v>
      </c>
      <c r="U2" s="31" t="str" cm="1">
        <f t="array" ref="U2">_xlfn.XLOOKUP($A2,DataColumnRange,_xlfn.XLOOKUP(U$1,dataRowRange,ActualDataRange))</f>
        <v>No</v>
      </c>
      <c r="V2" s="31" t="str" cm="1">
        <f t="array" ref="V2">_xlfn.XLOOKUP($A2,DataColumnRange,_xlfn.XLOOKUP(V$1,dataRowRange,ActualDataRange))</f>
        <v>No</v>
      </c>
      <c r="W2" s="31" t="str" cm="1">
        <f t="array" ref="W2">_xlfn.XLOOKUP($A2,DataColumnRange,_xlfn.XLOOKUP(W$1,dataRowRange,ActualDataRange))</f>
        <v>No</v>
      </c>
      <c r="X2" s="31" cm="1">
        <f t="array" ref="X2">_xlfn.XLOOKUP($A2,DataColumnRange,_xlfn.XLOOKUP(X$1,dataRowRange,ActualDataRange))</f>
        <v>2</v>
      </c>
      <c r="Y2" s="31" t="str" cm="1">
        <f t="array" ref="Y2">_xlfn.XLOOKUP($A2,DataColumnRange,_xlfn.XLOOKUP(Y$1,dataRowRange,ActualDataRange))</f>
        <v>No</v>
      </c>
      <c r="Z2" s="31" t="str" cm="1">
        <f t="array" ref="Z2">_xlfn.XLOOKUP($A2,DataColumnRange,_xlfn.XLOOKUP(Z$1,dataRowRange,ActualDataRange))</f>
        <v>NA</v>
      </c>
      <c r="AA2" s="31" t="str" cm="1">
        <f t="array" ref="AA2">_xlfn.XLOOKUP($A2,DataColumnRange,_xlfn.XLOOKUP(AA$1,dataRowRange,ActualDataRange))</f>
        <v>000260018</v>
      </c>
      <c r="AB2" s="31" t="str" cm="1">
        <f t="array" ref="AB2">_xlfn.XLOOKUP($A2,DataColumnRange,_xlfn.XLOOKUP(AB$1,dataRowRange,ActualDataRange))</f>
        <v>GeneralCargoTemplate</v>
      </c>
      <c r="AC2" s="31" t="str" cm="1">
        <f t="array" ref="AC2">_xlfn.XLOOKUP($A2,DataColumnRange,_xlfn.XLOOKUP(AC$1,dataRowRange,ActualDataRange))</f>
        <v>CreditCard</v>
      </c>
      <c r="AD2" s="31" t="str" cm="1">
        <f t="array" ref="AD2">_xlfn.XLOOKUP($A2,DataColumnRange,_xlfn.XLOOKUP(AD$1,dataRowRange,ActualDataRange))</f>
        <v>NA</v>
      </c>
      <c r="AE2" s="31" t="str" cm="1">
        <f t="array" ref="AE2">_xlfn.XLOOKUP($A2,DataColumnRange,_xlfn.XLOOKUP(AE$1,dataRowRange,ActualDataRange))</f>
        <v>Test1</v>
      </c>
      <c r="AF2" s="31" t="str" cm="1">
        <f t="array" ref="AF2">_xlfn.XLOOKUP($A2,DataColumnRange,_xlfn.XLOOKUP(AF$1,dataRowRange,ActualDataRange))</f>
        <v>Test2</v>
      </c>
      <c r="AG2" s="31" t="str" cm="1">
        <f t="array" ref="AG2">_xlfn.XLOOKUP($A2,DataColumnRange,_xlfn.XLOOKUP(AG$1,dataRowRange,ActualDataRange))</f>
        <v>Atlanta</v>
      </c>
      <c r="AH2" s="31" t="str" cm="1">
        <f t="array" ref="AH2">_xlfn.XLOOKUP($A2,DataColumnRange,_xlfn.XLOOKUP(AH$1,dataRowRange,ActualDataRange))</f>
        <v>Georgia</v>
      </c>
      <c r="AI2" s="31" cm="1">
        <f t="array" ref="AI2">_xlfn.XLOOKUP($A2,DataColumnRange,_xlfn.XLOOKUP(AI$1,dataRowRange,ActualDataRange))</f>
        <v>55055</v>
      </c>
      <c r="AJ2" s="31" t="str" cm="1">
        <f t="array" ref="AJ2">_xlfn.XLOOKUP($A2,DataColumnRange,_xlfn.XLOOKUP(AJ$1,dataRowRange,ActualDataRange))</f>
        <v>000075010</v>
      </c>
      <c r="AK2" s="31" t="str" cm="1">
        <f t="array" ref="AK2">_xlfn.XLOOKUP($A2,DataColumnRange,_xlfn.XLOOKUP(AK$1,dataRowRange,ActualDataRange))</f>
        <v>Domestic</v>
      </c>
      <c r="AL2" s="31" cm="1">
        <f t="array" ref="AL2">_xlfn.XLOOKUP($A2,DataColumnRange,_xlfn.XLOOKUP(AL$1,dataRowRange,ActualDataRange))</f>
        <v>0</v>
      </c>
    </row>
    <row r="3" spans="1:38" ht="17" thickBot="1">
      <c r="A3" s="75" t="s">
        <v>362</v>
      </c>
      <c r="B3" s="33" t="s">
        <v>58</v>
      </c>
      <c r="C3" s="33" t="s">
        <v>176</v>
      </c>
      <c r="D3" s="24" t="str">
        <f>IF(TestCaseConfig!$B$3="Yes","Yes","No")</f>
        <v>Yes</v>
      </c>
      <c r="E3" s="31" t="str" cm="1">
        <f t="array" ref="E3">_xlfn.XLOOKUP($A3,DataColumnRange,_xlfn.XLOOKUP(E$1,dataRowRange,ActualDataRange))</f>
        <v>sumit.choudhary@delta.com</v>
      </c>
      <c r="F3" s="31" t="str" cm="1">
        <f t="array" ref="F3">_xlfn.XLOOKUP($A3,DataColumnRange,_xlfn.XLOOKUP(F$1,dataRowRange,ActualDataRange))</f>
        <v>Delta2</v>
      </c>
      <c r="G3" s="31" t="b" cm="1">
        <f t="array" ref="G3">_xlfn.XLOOKUP($A3,DataColumnRange,_xlfn.XLOOKUP(G$1,dataRowRange,ActualDataRange))</f>
        <v>1</v>
      </c>
      <c r="H3" s="31" t="str" cm="1">
        <f t="array" ref="H3">_xlfn.XLOOKUP($A3,DataColumnRange,_xlfn.XLOOKUP(H$1,dataRowRange,ActualDataRange))</f>
        <v>NA</v>
      </c>
      <c r="I3" s="31" t="str" cm="1">
        <f t="array" ref="I3">_xlfn.XLOOKUP($A3,DataColumnRange,_xlfn.XLOOKUP(I$1,dataRowRange,ActualDataRange))</f>
        <v>JFK</v>
      </c>
      <c r="J3" s="31" t="str" cm="1">
        <f t="array" ref="J3">_xlfn.XLOOKUP($A3,DataColumnRange,_xlfn.XLOOKUP(J$1,dataRowRange,ActualDataRange))</f>
        <v>ATL</v>
      </c>
      <c r="K3" s="31" t="str" cm="1">
        <f t="array" ref="K3">_xlfn.XLOOKUP($A3,DataColumnRange,_xlfn.XLOOKUP(K$1,dataRowRange,ActualDataRange))</f>
        <v>Pharma 1 - Passive Container</v>
      </c>
      <c r="L3" s="31" t="str" cm="1">
        <f t="array" ref="L3">_xlfn.XLOOKUP($A3,DataColumnRange,_xlfn.XLOOKUP(L$1,dataRowRange,ActualDataRange))</f>
        <v>Test Pharma</v>
      </c>
      <c r="M3" s="31" cm="1">
        <f t="array" ref="M3">_xlfn.XLOOKUP($A3,DataColumnRange,_xlfn.XLOOKUP(M$1,dataRowRange,ActualDataRange))</f>
        <v>10</v>
      </c>
      <c r="N3" s="31" t="str" cm="1">
        <f t="array" ref="N3">_xlfn.XLOOKUP($A3,DataColumnRange,_xlfn.XLOOKUP(N$1,dataRowRange,ActualDataRange))</f>
        <v>LB</v>
      </c>
      <c r="O3" s="31" cm="1">
        <f t="array" ref="O3">_xlfn.XLOOKUP($A3,DataColumnRange,_xlfn.XLOOKUP(O$1,dataRowRange,ActualDataRange))</f>
        <v>1</v>
      </c>
      <c r="P3" s="31" cm="1">
        <f t="array" ref="P3">_xlfn.XLOOKUP($A3,DataColumnRange,_xlfn.XLOOKUP(P$1,dataRowRange,ActualDataRange))</f>
        <v>10</v>
      </c>
      <c r="Q3" s="31" cm="1">
        <f t="array" ref="Q3">_xlfn.XLOOKUP($A3,DataColumnRange,_xlfn.XLOOKUP(Q$1,dataRowRange,ActualDataRange))</f>
        <v>10</v>
      </c>
      <c r="R3" s="31" cm="1">
        <f t="array" ref="R3">_xlfn.XLOOKUP($A3,DataColumnRange,_xlfn.XLOOKUP(R$1,dataRowRange,ActualDataRange))</f>
        <v>10</v>
      </c>
      <c r="S3" s="31" t="str" cm="1">
        <f t="array" ref="S3">_xlfn.XLOOKUP($A3,DataColumnRange,_xlfn.XLOOKUP(S$1,dataRowRange,ActualDataRange))</f>
        <v>IN</v>
      </c>
      <c r="T3" s="31" t="str" cm="1">
        <f t="array" ref="T3">_xlfn.XLOOKUP($A3,DataColumnRange,_xlfn.XLOOKUP(T$1,dataRowRange,ActualDataRange))</f>
        <v>Cubic Feet</v>
      </c>
      <c r="U3" s="31" t="str" cm="1">
        <f t="array" ref="U3">_xlfn.XLOOKUP($A3,DataColumnRange,_xlfn.XLOOKUP(U$1,dataRowRange,ActualDataRange))</f>
        <v>No</v>
      </c>
      <c r="V3" s="31" t="str" cm="1">
        <f t="array" ref="V3">_xlfn.XLOOKUP($A3,DataColumnRange,_xlfn.XLOOKUP(V$1,dataRowRange,ActualDataRange))</f>
        <v>No</v>
      </c>
      <c r="W3" s="31" t="str" cm="1">
        <f t="array" ref="W3">_xlfn.XLOOKUP($A3,DataColumnRange,_xlfn.XLOOKUP(W$1,dataRowRange,ActualDataRange))</f>
        <v>No</v>
      </c>
      <c r="X3" s="31" cm="1">
        <f t="array" ref="X3">_xlfn.XLOOKUP($A3,DataColumnRange,_xlfn.XLOOKUP(X$1,dataRowRange,ActualDataRange))</f>
        <v>2</v>
      </c>
      <c r="Y3" s="31" t="str" cm="1">
        <f t="array" ref="Y3">_xlfn.XLOOKUP($A3,DataColumnRange,_xlfn.XLOOKUP(Y$1,dataRowRange,ActualDataRange))</f>
        <v>No</v>
      </c>
      <c r="Z3" s="31" t="str" cm="1">
        <f t="array" ref="Z3">_xlfn.XLOOKUP($A3,DataColumnRange,_xlfn.XLOOKUP(Z$1,dataRowRange,ActualDataRange))</f>
        <v>NA</v>
      </c>
      <c r="AA3" s="31" t="str" cm="1">
        <f t="array" ref="AA3">_xlfn.XLOOKUP($A3,DataColumnRange,_xlfn.XLOOKUP(AA$1,dataRowRange,ActualDataRange))</f>
        <v>000260018</v>
      </c>
      <c r="AB3" s="31" t="str" cm="1">
        <f t="array" ref="AB3">_xlfn.XLOOKUP($A3,DataColumnRange,_xlfn.XLOOKUP(AB$1,dataRowRange,ActualDataRange))</f>
        <v>GeneralCargoTemplate</v>
      </c>
      <c r="AC3" s="31" t="str" cm="1">
        <f t="array" ref="AC3">_xlfn.XLOOKUP($A3,DataColumnRange,_xlfn.XLOOKUP(AC$1,dataRowRange,ActualDataRange))</f>
        <v>CreditCard</v>
      </c>
      <c r="AD3" s="31" t="str" cm="1">
        <f t="array" ref="AD3">_xlfn.XLOOKUP($A3,DataColumnRange,_xlfn.XLOOKUP(AD$1,dataRowRange,ActualDataRange))</f>
        <v>NA</v>
      </c>
      <c r="AE3" s="31" t="str" cm="1">
        <f t="array" ref="AE3">_xlfn.XLOOKUP($A3,DataColumnRange,_xlfn.XLOOKUP(AE$1,dataRowRange,ActualDataRange))</f>
        <v>Test1</v>
      </c>
      <c r="AF3" s="31" t="str" cm="1">
        <f t="array" ref="AF3">_xlfn.XLOOKUP($A3,DataColumnRange,_xlfn.XLOOKUP(AF$1,dataRowRange,ActualDataRange))</f>
        <v>Test2</v>
      </c>
      <c r="AG3" s="31" t="str" cm="1">
        <f t="array" ref="AG3">_xlfn.XLOOKUP($A3,DataColumnRange,_xlfn.XLOOKUP(AG$1,dataRowRange,ActualDataRange))</f>
        <v>Atlanta</v>
      </c>
      <c r="AH3" s="31" t="str" cm="1">
        <f t="array" ref="AH3">_xlfn.XLOOKUP($A3,DataColumnRange,_xlfn.XLOOKUP(AH$1,dataRowRange,ActualDataRange))</f>
        <v>Georgia</v>
      </c>
      <c r="AI3" s="31" cm="1">
        <f t="array" ref="AI3">_xlfn.XLOOKUP($A3,DataColumnRange,_xlfn.XLOOKUP(AI$1,dataRowRange,ActualDataRange))</f>
        <v>55055</v>
      </c>
      <c r="AJ3" s="31" t="str" cm="1">
        <f t="array" ref="AJ3">_xlfn.XLOOKUP($A3,DataColumnRange,_xlfn.XLOOKUP(AJ$1,dataRowRange,ActualDataRange))</f>
        <v>000075010</v>
      </c>
      <c r="AK3" s="31" t="str" cm="1">
        <f t="array" ref="AK3">_xlfn.XLOOKUP($A3,DataColumnRange,_xlfn.XLOOKUP(AK$1,dataRowRange,ActualDataRange))</f>
        <v>Domestic</v>
      </c>
      <c r="AL3" s="31" cm="1">
        <f t="array" ref="AL3">_xlfn.XLOOKUP($A3,DataColumnRange,_xlfn.XLOOKUP(AL$1,dataRowRange,ActualDataRange))</f>
        <v>0</v>
      </c>
    </row>
    <row r="4" spans="1:38" ht="17" thickBot="1">
      <c r="A4" s="75" t="s">
        <v>363</v>
      </c>
      <c r="B4" s="33" t="s">
        <v>58</v>
      </c>
      <c r="C4" s="33" t="s">
        <v>176</v>
      </c>
      <c r="D4" s="24" t="str">
        <f>IF(TestCaseConfig!$B$3="Yes","Yes","No")</f>
        <v>Yes</v>
      </c>
      <c r="E4" s="31" t="str" cm="1">
        <f t="array" ref="E4">_xlfn.XLOOKUP($A4,DataColumnRange,_xlfn.XLOOKUP(E$1,dataRowRange,ActualDataRange))</f>
        <v>sumit.choudhary@delta.com</v>
      </c>
      <c r="F4" s="31" t="str" cm="1">
        <f t="array" ref="F4">_xlfn.XLOOKUP($A4,DataColumnRange,_xlfn.XLOOKUP(F$1,dataRowRange,ActualDataRange))</f>
        <v>Delta2</v>
      </c>
      <c r="G4" s="31" t="b" cm="1">
        <f t="array" ref="G4">_xlfn.XLOOKUP($A4,DataColumnRange,_xlfn.XLOOKUP(G$1,dataRowRange,ActualDataRange))</f>
        <v>1</v>
      </c>
      <c r="H4" s="31" t="str" cm="1">
        <f t="array" ref="H4">_xlfn.XLOOKUP($A4,DataColumnRange,_xlfn.XLOOKUP(H$1,dataRowRange,ActualDataRange))</f>
        <v>NA</v>
      </c>
      <c r="I4" s="31" t="str" cm="1">
        <f t="array" ref="I4">_xlfn.XLOOKUP($A4,DataColumnRange,_xlfn.XLOOKUP(I$1,dataRowRange,ActualDataRange))</f>
        <v>JFK</v>
      </c>
      <c r="J4" s="31" t="str" cm="1">
        <f t="array" ref="J4">_xlfn.XLOOKUP($A4,DataColumnRange,_xlfn.XLOOKUP(J$1,dataRowRange,ActualDataRange))</f>
        <v>ATL</v>
      </c>
      <c r="K4" s="31" t="str" cm="1">
        <f t="array" ref="K4">_xlfn.XLOOKUP($A4,DataColumnRange,_xlfn.XLOOKUP(K$1,dataRowRange,ActualDataRange))</f>
        <v>Pharma 2 - Temperature controlled between +2°C to +8°C</v>
      </c>
      <c r="L4" s="31" t="str" cm="1">
        <f t="array" ref="L4">_xlfn.XLOOKUP($A4,DataColumnRange,_xlfn.XLOOKUP(L$1,dataRowRange,ActualDataRange))</f>
        <v>Test Pharma</v>
      </c>
      <c r="M4" s="31" cm="1">
        <f t="array" ref="M4">_xlfn.XLOOKUP($A4,DataColumnRange,_xlfn.XLOOKUP(M$1,dataRowRange,ActualDataRange))</f>
        <v>10</v>
      </c>
      <c r="N4" s="31" t="str" cm="1">
        <f t="array" ref="N4">_xlfn.XLOOKUP($A4,DataColumnRange,_xlfn.XLOOKUP(N$1,dataRowRange,ActualDataRange))</f>
        <v>LB</v>
      </c>
      <c r="O4" s="31" cm="1">
        <f t="array" ref="O4">_xlfn.XLOOKUP($A4,DataColumnRange,_xlfn.XLOOKUP(O$1,dataRowRange,ActualDataRange))</f>
        <v>1</v>
      </c>
      <c r="P4" s="31" cm="1">
        <f t="array" ref="P4">_xlfn.XLOOKUP($A4,DataColumnRange,_xlfn.XLOOKUP(P$1,dataRowRange,ActualDataRange))</f>
        <v>10</v>
      </c>
      <c r="Q4" s="31" cm="1">
        <f t="array" ref="Q4">_xlfn.XLOOKUP($A4,DataColumnRange,_xlfn.XLOOKUP(Q$1,dataRowRange,ActualDataRange))</f>
        <v>10</v>
      </c>
      <c r="R4" s="31" cm="1">
        <f t="array" ref="R4">_xlfn.XLOOKUP($A4,DataColumnRange,_xlfn.XLOOKUP(R$1,dataRowRange,ActualDataRange))</f>
        <v>10</v>
      </c>
      <c r="S4" s="31" t="str" cm="1">
        <f t="array" ref="S4">_xlfn.XLOOKUP($A4,DataColumnRange,_xlfn.XLOOKUP(S$1,dataRowRange,ActualDataRange))</f>
        <v>IN</v>
      </c>
      <c r="T4" s="31" t="str" cm="1">
        <f t="array" ref="T4">_xlfn.XLOOKUP($A4,DataColumnRange,_xlfn.XLOOKUP(T$1,dataRowRange,ActualDataRange))</f>
        <v>Cubic Feet</v>
      </c>
      <c r="U4" s="31" t="str" cm="1">
        <f t="array" ref="U4">_xlfn.XLOOKUP($A4,DataColumnRange,_xlfn.XLOOKUP(U$1,dataRowRange,ActualDataRange))</f>
        <v>No</v>
      </c>
      <c r="V4" s="31" t="str" cm="1">
        <f t="array" ref="V4">_xlfn.XLOOKUP($A4,DataColumnRange,_xlfn.XLOOKUP(V$1,dataRowRange,ActualDataRange))</f>
        <v>No</v>
      </c>
      <c r="W4" s="31" t="str" cm="1">
        <f t="array" ref="W4">_xlfn.XLOOKUP($A4,DataColumnRange,_xlfn.XLOOKUP(W$1,dataRowRange,ActualDataRange))</f>
        <v>No</v>
      </c>
      <c r="X4" s="31" cm="1">
        <f t="array" ref="X4">_xlfn.XLOOKUP($A4,DataColumnRange,_xlfn.XLOOKUP(X$1,dataRowRange,ActualDataRange))</f>
        <v>2</v>
      </c>
      <c r="Y4" s="31" t="str" cm="1">
        <f t="array" ref="Y4">_xlfn.XLOOKUP($A4,DataColumnRange,_xlfn.XLOOKUP(Y$1,dataRowRange,ActualDataRange))</f>
        <v>No</v>
      </c>
      <c r="Z4" s="31" t="str" cm="1">
        <f t="array" ref="Z4">_xlfn.XLOOKUP($A4,DataColumnRange,_xlfn.XLOOKUP(Z$1,dataRowRange,ActualDataRange))</f>
        <v>NA</v>
      </c>
      <c r="AA4" s="31" t="str" cm="1">
        <f t="array" ref="AA4">_xlfn.XLOOKUP($A4,DataColumnRange,_xlfn.XLOOKUP(AA$1,dataRowRange,ActualDataRange))</f>
        <v>000260018</v>
      </c>
      <c r="AB4" s="31" t="str" cm="1">
        <f t="array" ref="AB4">_xlfn.XLOOKUP($A4,DataColumnRange,_xlfn.XLOOKUP(AB$1,dataRowRange,ActualDataRange))</f>
        <v>GeneralCargoTemplate</v>
      </c>
      <c r="AC4" s="31" t="str" cm="1">
        <f t="array" ref="AC4">_xlfn.XLOOKUP($A4,DataColumnRange,_xlfn.XLOOKUP(AC$1,dataRowRange,ActualDataRange))</f>
        <v>CreditCard</v>
      </c>
      <c r="AD4" s="31" t="str" cm="1">
        <f t="array" ref="AD4">_xlfn.XLOOKUP($A4,DataColumnRange,_xlfn.XLOOKUP(AD$1,dataRowRange,ActualDataRange))</f>
        <v>NA</v>
      </c>
      <c r="AE4" s="31" t="str" cm="1">
        <f t="array" ref="AE4">_xlfn.XLOOKUP($A4,DataColumnRange,_xlfn.XLOOKUP(AE$1,dataRowRange,ActualDataRange))</f>
        <v>Test1</v>
      </c>
      <c r="AF4" s="31" t="str" cm="1">
        <f t="array" ref="AF4">_xlfn.XLOOKUP($A4,DataColumnRange,_xlfn.XLOOKUP(AF$1,dataRowRange,ActualDataRange))</f>
        <v>Test2</v>
      </c>
      <c r="AG4" s="31" t="str" cm="1">
        <f t="array" ref="AG4">_xlfn.XLOOKUP($A4,DataColumnRange,_xlfn.XLOOKUP(AG$1,dataRowRange,ActualDataRange))</f>
        <v>Atlanta</v>
      </c>
      <c r="AH4" s="31" t="str" cm="1">
        <f t="array" ref="AH4">_xlfn.XLOOKUP($A4,DataColumnRange,_xlfn.XLOOKUP(AH$1,dataRowRange,ActualDataRange))</f>
        <v>Georgia</v>
      </c>
      <c r="AI4" s="31" cm="1">
        <f t="array" ref="AI4">_xlfn.XLOOKUP($A4,DataColumnRange,_xlfn.XLOOKUP(AI$1,dataRowRange,ActualDataRange))</f>
        <v>55055</v>
      </c>
      <c r="AJ4" s="31" t="str" cm="1">
        <f t="array" ref="AJ4">_xlfn.XLOOKUP($A4,DataColumnRange,_xlfn.XLOOKUP(AJ$1,dataRowRange,ActualDataRange))</f>
        <v>000075010</v>
      </c>
      <c r="AK4" s="31" t="str" cm="1">
        <f t="array" ref="AK4">_xlfn.XLOOKUP($A4,DataColumnRange,_xlfn.XLOOKUP(AK$1,dataRowRange,ActualDataRange))</f>
        <v>Domestic</v>
      </c>
      <c r="AL4" s="31" cm="1">
        <f t="array" ref="AL4">_xlfn.XLOOKUP($A4,DataColumnRange,_xlfn.XLOOKUP(AL$1,dataRowRange,ActualDataRange))</f>
        <v>0</v>
      </c>
    </row>
    <row r="5" spans="1:38" ht="17" thickBot="1">
      <c r="A5" s="75" t="s">
        <v>364</v>
      </c>
      <c r="B5" s="33" t="s">
        <v>58</v>
      </c>
      <c r="C5" s="33" t="s">
        <v>176</v>
      </c>
      <c r="D5" s="24" t="str">
        <f>IF(TestCaseConfig!$B$3="Yes","Yes","No")</f>
        <v>Yes</v>
      </c>
      <c r="E5" s="31" t="str" cm="1">
        <f t="array" ref="E5">_xlfn.XLOOKUP($A5,DataColumnRange,_xlfn.XLOOKUP(E$1,dataRowRange,ActualDataRange))</f>
        <v>sumit.choudhary@delta.com</v>
      </c>
      <c r="F5" s="31" t="str" cm="1">
        <f t="array" ref="F5">_xlfn.XLOOKUP($A5,DataColumnRange,_xlfn.XLOOKUP(F$1,dataRowRange,ActualDataRange))</f>
        <v>Delta2</v>
      </c>
      <c r="G5" s="31" t="b" cm="1">
        <f t="array" ref="G5">_xlfn.XLOOKUP($A5,DataColumnRange,_xlfn.XLOOKUP(G$1,dataRowRange,ActualDataRange))</f>
        <v>1</v>
      </c>
      <c r="H5" s="31" t="str" cm="1">
        <f t="array" ref="H5">_xlfn.XLOOKUP($A5,DataColumnRange,_xlfn.XLOOKUP(H$1,dataRowRange,ActualDataRange))</f>
        <v>NA</v>
      </c>
      <c r="I5" s="31" t="str" cm="1">
        <f t="array" ref="I5">_xlfn.XLOOKUP($A5,DataColumnRange,_xlfn.XLOOKUP(I$1,dataRowRange,ActualDataRange))</f>
        <v>JFK</v>
      </c>
      <c r="J5" s="31" t="str" cm="1">
        <f t="array" ref="J5">_xlfn.XLOOKUP($A5,DataColumnRange,_xlfn.XLOOKUP(J$1,dataRowRange,ActualDataRange))</f>
        <v>ATL</v>
      </c>
      <c r="K5" s="31" t="str" cm="1">
        <f t="array" ref="K5">_xlfn.XLOOKUP($A5,DataColumnRange,_xlfn.XLOOKUP(K$1,dataRowRange,ActualDataRange))</f>
        <v>Pharma 3 - Temperature controlled between +2°C to +25°C</v>
      </c>
      <c r="L5" s="31" t="str" cm="1">
        <f t="array" ref="L5">_xlfn.XLOOKUP($A5,DataColumnRange,_xlfn.XLOOKUP(L$1,dataRowRange,ActualDataRange))</f>
        <v>Test Pharma</v>
      </c>
      <c r="M5" s="31" cm="1">
        <f t="array" ref="M5">_xlfn.XLOOKUP($A5,DataColumnRange,_xlfn.XLOOKUP(M$1,dataRowRange,ActualDataRange))</f>
        <v>10</v>
      </c>
      <c r="N5" s="31" t="str" cm="1">
        <f t="array" ref="N5">_xlfn.XLOOKUP($A5,DataColumnRange,_xlfn.XLOOKUP(N$1,dataRowRange,ActualDataRange))</f>
        <v>LB</v>
      </c>
      <c r="O5" s="31" cm="1">
        <f t="array" ref="O5">_xlfn.XLOOKUP($A5,DataColumnRange,_xlfn.XLOOKUP(O$1,dataRowRange,ActualDataRange))</f>
        <v>1</v>
      </c>
      <c r="P5" s="31" cm="1">
        <f t="array" ref="P5">_xlfn.XLOOKUP($A5,DataColumnRange,_xlfn.XLOOKUP(P$1,dataRowRange,ActualDataRange))</f>
        <v>10</v>
      </c>
      <c r="Q5" s="31" cm="1">
        <f t="array" ref="Q5">_xlfn.XLOOKUP($A5,DataColumnRange,_xlfn.XLOOKUP(Q$1,dataRowRange,ActualDataRange))</f>
        <v>10</v>
      </c>
      <c r="R5" s="31" cm="1">
        <f t="array" ref="R5">_xlfn.XLOOKUP($A5,DataColumnRange,_xlfn.XLOOKUP(R$1,dataRowRange,ActualDataRange))</f>
        <v>10</v>
      </c>
      <c r="S5" s="31" t="str" cm="1">
        <f t="array" ref="S5">_xlfn.XLOOKUP($A5,DataColumnRange,_xlfn.XLOOKUP(S$1,dataRowRange,ActualDataRange))</f>
        <v>IN</v>
      </c>
      <c r="T5" s="31" t="str" cm="1">
        <f t="array" ref="T5">_xlfn.XLOOKUP($A5,DataColumnRange,_xlfn.XLOOKUP(T$1,dataRowRange,ActualDataRange))</f>
        <v>Cubic Feet</v>
      </c>
      <c r="U5" s="31" t="str" cm="1">
        <f t="array" ref="U5">_xlfn.XLOOKUP($A5,DataColumnRange,_xlfn.XLOOKUP(U$1,dataRowRange,ActualDataRange))</f>
        <v>No</v>
      </c>
      <c r="V5" s="31" t="str" cm="1">
        <f t="array" ref="V5">_xlfn.XLOOKUP($A5,DataColumnRange,_xlfn.XLOOKUP(V$1,dataRowRange,ActualDataRange))</f>
        <v>No</v>
      </c>
      <c r="W5" s="31" t="str" cm="1">
        <f t="array" ref="W5">_xlfn.XLOOKUP($A5,DataColumnRange,_xlfn.XLOOKUP(W$1,dataRowRange,ActualDataRange))</f>
        <v>No</v>
      </c>
      <c r="X5" s="31" cm="1">
        <f t="array" ref="X5">_xlfn.XLOOKUP($A5,DataColumnRange,_xlfn.XLOOKUP(X$1,dataRowRange,ActualDataRange))</f>
        <v>2</v>
      </c>
      <c r="Y5" s="31" t="str" cm="1">
        <f t="array" ref="Y5">_xlfn.XLOOKUP($A5,DataColumnRange,_xlfn.XLOOKUP(Y$1,dataRowRange,ActualDataRange))</f>
        <v>No</v>
      </c>
      <c r="Z5" s="31" t="str" cm="1">
        <f t="array" ref="Z5">_xlfn.XLOOKUP($A5,DataColumnRange,_xlfn.XLOOKUP(Z$1,dataRowRange,ActualDataRange))</f>
        <v>NA</v>
      </c>
      <c r="AA5" s="31" t="str" cm="1">
        <f t="array" ref="AA5">_xlfn.XLOOKUP($A5,DataColumnRange,_xlfn.XLOOKUP(AA$1,dataRowRange,ActualDataRange))</f>
        <v>000260018</v>
      </c>
      <c r="AB5" s="31" t="str" cm="1">
        <f t="array" ref="AB5">_xlfn.XLOOKUP($A5,DataColumnRange,_xlfn.XLOOKUP(AB$1,dataRowRange,ActualDataRange))</f>
        <v>GeneralCargoTemplate</v>
      </c>
      <c r="AC5" s="31" t="str" cm="1">
        <f t="array" ref="AC5">_xlfn.XLOOKUP($A5,DataColumnRange,_xlfn.XLOOKUP(AC$1,dataRowRange,ActualDataRange))</f>
        <v>CreditCard</v>
      </c>
      <c r="AD5" s="31" t="str" cm="1">
        <f t="array" ref="AD5">_xlfn.XLOOKUP($A5,DataColumnRange,_xlfn.XLOOKUP(AD$1,dataRowRange,ActualDataRange))</f>
        <v>NA</v>
      </c>
      <c r="AE5" s="31" t="str" cm="1">
        <f t="array" ref="AE5">_xlfn.XLOOKUP($A5,DataColumnRange,_xlfn.XLOOKUP(AE$1,dataRowRange,ActualDataRange))</f>
        <v>Test1</v>
      </c>
      <c r="AF5" s="31" t="str" cm="1">
        <f t="array" ref="AF5">_xlfn.XLOOKUP($A5,DataColumnRange,_xlfn.XLOOKUP(AF$1,dataRowRange,ActualDataRange))</f>
        <v>Test2</v>
      </c>
      <c r="AG5" s="31" t="str" cm="1">
        <f t="array" ref="AG5">_xlfn.XLOOKUP($A5,DataColumnRange,_xlfn.XLOOKUP(AG$1,dataRowRange,ActualDataRange))</f>
        <v>Atlanta</v>
      </c>
      <c r="AH5" s="31" t="str" cm="1">
        <f t="array" ref="AH5">_xlfn.XLOOKUP($A5,DataColumnRange,_xlfn.XLOOKUP(AH$1,dataRowRange,ActualDataRange))</f>
        <v>Georgia</v>
      </c>
      <c r="AI5" s="31" cm="1">
        <f t="array" ref="AI5">_xlfn.XLOOKUP($A5,DataColumnRange,_xlfn.XLOOKUP(AI$1,dataRowRange,ActualDataRange))</f>
        <v>55055</v>
      </c>
      <c r="AJ5" s="31" t="str" cm="1">
        <f t="array" ref="AJ5">_xlfn.XLOOKUP($A5,DataColumnRange,_xlfn.XLOOKUP(AJ$1,dataRowRange,ActualDataRange))</f>
        <v>000075010</v>
      </c>
      <c r="AK5" s="31" t="str" cm="1">
        <f t="array" ref="AK5">_xlfn.XLOOKUP($A5,DataColumnRange,_xlfn.XLOOKUP(AK$1,dataRowRange,ActualDataRange))</f>
        <v>Domestic</v>
      </c>
      <c r="AL5" s="31" cm="1">
        <f t="array" ref="AL5">_xlfn.XLOOKUP($A5,DataColumnRange,_xlfn.XLOOKUP(AL$1,dataRowRange,ActualDataRange))</f>
        <v>0</v>
      </c>
    </row>
    <row r="6" spans="1:38" ht="17" thickBot="1">
      <c r="A6" s="75" t="s">
        <v>365</v>
      </c>
      <c r="B6" s="33" t="s">
        <v>58</v>
      </c>
      <c r="C6" s="33" t="s">
        <v>176</v>
      </c>
      <c r="D6" s="24" t="str">
        <f>IF(TestCaseConfig!$B$3="Yes","Yes","No")</f>
        <v>Yes</v>
      </c>
      <c r="E6" s="31" t="str" cm="1">
        <f t="array" ref="E6">_xlfn.XLOOKUP($A6,DataColumnRange,_xlfn.XLOOKUP(E$1,dataRowRange,ActualDataRange))</f>
        <v>sumit.choudhary@delta.com</v>
      </c>
      <c r="F6" s="31" t="str" cm="1">
        <f t="array" ref="F6">_xlfn.XLOOKUP($A6,DataColumnRange,_xlfn.XLOOKUP(F$1,dataRowRange,ActualDataRange))</f>
        <v>Delta2</v>
      </c>
      <c r="G6" s="31" t="b" cm="1">
        <f t="array" ref="G6">_xlfn.XLOOKUP($A6,DataColumnRange,_xlfn.XLOOKUP(G$1,dataRowRange,ActualDataRange))</f>
        <v>1</v>
      </c>
      <c r="H6" s="31" t="str" cm="1">
        <f t="array" ref="H6">_xlfn.XLOOKUP($A6,DataColumnRange,_xlfn.XLOOKUP(H$1,dataRowRange,ActualDataRange))</f>
        <v>NA</v>
      </c>
      <c r="I6" s="31" t="str" cm="1">
        <f t="array" ref="I6">_xlfn.XLOOKUP($A6,DataColumnRange,_xlfn.XLOOKUP(I$1,dataRowRange,ActualDataRange))</f>
        <v>JFK</v>
      </c>
      <c r="J6" s="31" t="str" cm="1">
        <f t="array" ref="J6">_xlfn.XLOOKUP($A6,DataColumnRange,_xlfn.XLOOKUP(J$1,dataRowRange,ActualDataRange))</f>
        <v>ATL</v>
      </c>
      <c r="K6" s="31" t="str" cm="1">
        <f t="array" ref="K6">_xlfn.XLOOKUP($A6,DataColumnRange,_xlfn.XLOOKUP(K$1,dataRowRange,ActualDataRange))</f>
        <v>Pharma 4 - Temperature controlled between +15°C to +25°C</v>
      </c>
      <c r="L6" s="31" t="str" cm="1">
        <f t="array" ref="L6">_xlfn.XLOOKUP($A6,DataColumnRange,_xlfn.XLOOKUP(L$1,dataRowRange,ActualDataRange))</f>
        <v>Test Pharma</v>
      </c>
      <c r="M6" s="31" cm="1">
        <f t="array" ref="M6">_xlfn.XLOOKUP($A6,DataColumnRange,_xlfn.XLOOKUP(M$1,dataRowRange,ActualDataRange))</f>
        <v>10</v>
      </c>
      <c r="N6" s="31" t="str" cm="1">
        <f t="array" ref="N6">_xlfn.XLOOKUP($A6,DataColumnRange,_xlfn.XLOOKUP(N$1,dataRowRange,ActualDataRange))</f>
        <v>LB</v>
      </c>
      <c r="O6" s="31" cm="1">
        <f t="array" ref="O6">_xlfn.XLOOKUP($A6,DataColumnRange,_xlfn.XLOOKUP(O$1,dataRowRange,ActualDataRange))</f>
        <v>1</v>
      </c>
      <c r="P6" s="31" cm="1">
        <f t="array" ref="P6">_xlfn.XLOOKUP($A6,DataColumnRange,_xlfn.XLOOKUP(P$1,dataRowRange,ActualDataRange))</f>
        <v>10</v>
      </c>
      <c r="Q6" s="31" cm="1">
        <f t="array" ref="Q6">_xlfn.XLOOKUP($A6,DataColumnRange,_xlfn.XLOOKUP(Q$1,dataRowRange,ActualDataRange))</f>
        <v>10</v>
      </c>
      <c r="R6" s="31" cm="1">
        <f t="array" ref="R6">_xlfn.XLOOKUP($A6,DataColumnRange,_xlfn.XLOOKUP(R$1,dataRowRange,ActualDataRange))</f>
        <v>10</v>
      </c>
      <c r="S6" s="31" t="str" cm="1">
        <f t="array" ref="S6">_xlfn.XLOOKUP($A6,DataColumnRange,_xlfn.XLOOKUP(S$1,dataRowRange,ActualDataRange))</f>
        <v>IN</v>
      </c>
      <c r="T6" s="31" t="str" cm="1">
        <f t="array" ref="T6">_xlfn.XLOOKUP($A6,DataColumnRange,_xlfn.XLOOKUP(T$1,dataRowRange,ActualDataRange))</f>
        <v>Cubic Feet</v>
      </c>
      <c r="U6" s="31" t="str" cm="1">
        <f t="array" ref="U6">_xlfn.XLOOKUP($A6,DataColumnRange,_xlfn.XLOOKUP(U$1,dataRowRange,ActualDataRange))</f>
        <v>No</v>
      </c>
      <c r="V6" s="31" t="str" cm="1">
        <f t="array" ref="V6">_xlfn.XLOOKUP($A6,DataColumnRange,_xlfn.XLOOKUP(V$1,dataRowRange,ActualDataRange))</f>
        <v>No</v>
      </c>
      <c r="W6" s="31" t="str" cm="1">
        <f t="array" ref="W6">_xlfn.XLOOKUP($A6,DataColumnRange,_xlfn.XLOOKUP(W$1,dataRowRange,ActualDataRange))</f>
        <v>No</v>
      </c>
      <c r="X6" s="31" cm="1">
        <f t="array" ref="X6">_xlfn.XLOOKUP($A6,DataColumnRange,_xlfn.XLOOKUP(X$1,dataRowRange,ActualDataRange))</f>
        <v>2</v>
      </c>
      <c r="Y6" s="31" t="str" cm="1">
        <f t="array" ref="Y6">_xlfn.XLOOKUP($A6,DataColumnRange,_xlfn.XLOOKUP(Y$1,dataRowRange,ActualDataRange))</f>
        <v>No</v>
      </c>
      <c r="Z6" s="31" t="str" cm="1">
        <f t="array" ref="Z6">_xlfn.XLOOKUP($A6,DataColumnRange,_xlfn.XLOOKUP(Z$1,dataRowRange,ActualDataRange))</f>
        <v>NA</v>
      </c>
      <c r="AA6" s="31" t="str" cm="1">
        <f t="array" ref="AA6">_xlfn.XLOOKUP($A6,DataColumnRange,_xlfn.XLOOKUP(AA$1,dataRowRange,ActualDataRange))</f>
        <v>000260018</v>
      </c>
      <c r="AB6" s="31" t="str" cm="1">
        <f t="array" ref="AB6">_xlfn.XLOOKUP($A6,DataColumnRange,_xlfn.XLOOKUP(AB$1,dataRowRange,ActualDataRange))</f>
        <v>GeneralCargoTemplate</v>
      </c>
      <c r="AC6" s="31" t="str" cm="1">
        <f t="array" ref="AC6">_xlfn.XLOOKUP($A6,DataColumnRange,_xlfn.XLOOKUP(AC$1,dataRowRange,ActualDataRange))</f>
        <v>CreditCard</v>
      </c>
      <c r="AD6" s="31" t="str" cm="1">
        <f t="array" ref="AD6">_xlfn.XLOOKUP($A6,DataColumnRange,_xlfn.XLOOKUP(AD$1,dataRowRange,ActualDataRange))</f>
        <v>NA</v>
      </c>
      <c r="AE6" s="31" t="str" cm="1">
        <f t="array" ref="AE6">_xlfn.XLOOKUP($A6,DataColumnRange,_xlfn.XLOOKUP(AE$1,dataRowRange,ActualDataRange))</f>
        <v>Test1</v>
      </c>
      <c r="AF6" s="31" t="str" cm="1">
        <f t="array" ref="AF6">_xlfn.XLOOKUP($A6,DataColumnRange,_xlfn.XLOOKUP(AF$1,dataRowRange,ActualDataRange))</f>
        <v>Test2</v>
      </c>
      <c r="AG6" s="31" t="str" cm="1">
        <f t="array" ref="AG6">_xlfn.XLOOKUP($A6,DataColumnRange,_xlfn.XLOOKUP(AG$1,dataRowRange,ActualDataRange))</f>
        <v>Atlanta</v>
      </c>
      <c r="AH6" s="31" t="str" cm="1">
        <f t="array" ref="AH6">_xlfn.XLOOKUP($A6,DataColumnRange,_xlfn.XLOOKUP(AH$1,dataRowRange,ActualDataRange))</f>
        <v>Georgia</v>
      </c>
      <c r="AI6" s="31" cm="1">
        <f t="array" ref="AI6">_xlfn.XLOOKUP($A6,DataColumnRange,_xlfn.XLOOKUP(AI$1,dataRowRange,ActualDataRange))</f>
        <v>55055</v>
      </c>
      <c r="AJ6" s="31" t="str" cm="1">
        <f t="array" ref="AJ6">_xlfn.XLOOKUP($A6,DataColumnRange,_xlfn.XLOOKUP(AJ$1,dataRowRange,ActualDataRange))</f>
        <v>000075010</v>
      </c>
      <c r="AK6" s="31" t="str" cm="1">
        <f t="array" ref="AK6">_xlfn.XLOOKUP($A6,DataColumnRange,_xlfn.XLOOKUP(AK$1,dataRowRange,ActualDataRange))</f>
        <v>Domestic</v>
      </c>
      <c r="AL6" s="31" cm="1">
        <f t="array" ref="AL6">_xlfn.XLOOKUP($A6,DataColumnRange,_xlfn.XLOOKUP(AL$1,dataRowRange,ActualDataRange))</f>
        <v>0</v>
      </c>
    </row>
    <row r="7" spans="1:38" ht="17" thickBot="1">
      <c r="A7" s="75" t="s">
        <v>366</v>
      </c>
      <c r="B7" s="33" t="s">
        <v>58</v>
      </c>
      <c r="C7" s="33" t="s">
        <v>176</v>
      </c>
      <c r="D7" s="24" t="str">
        <f>IF(TestCaseConfig!$B$3="Yes","Yes","No")</f>
        <v>Yes</v>
      </c>
      <c r="E7" s="31" t="str" cm="1">
        <f t="array" ref="E7">_xlfn.XLOOKUP($A7,DataColumnRange,_xlfn.XLOOKUP(E$1,dataRowRange,ActualDataRange))</f>
        <v>sumit.choudhary@delta.com</v>
      </c>
      <c r="F7" s="31" t="str" cm="1">
        <f t="array" ref="F7">_xlfn.XLOOKUP($A7,DataColumnRange,_xlfn.XLOOKUP(F$1,dataRowRange,ActualDataRange))</f>
        <v>Delta2</v>
      </c>
      <c r="G7" s="31" t="b" cm="1">
        <f t="array" ref="G7">_xlfn.XLOOKUP($A7,DataColumnRange,_xlfn.XLOOKUP(G$1,dataRowRange,ActualDataRange))</f>
        <v>1</v>
      </c>
      <c r="H7" s="31" t="str" cm="1">
        <f t="array" ref="H7">_xlfn.XLOOKUP($A7,DataColumnRange,_xlfn.XLOOKUP(H$1,dataRowRange,ActualDataRange))</f>
        <v>NA</v>
      </c>
      <c r="I7" s="31" t="str" cm="1">
        <f t="array" ref="I7">_xlfn.XLOOKUP($A7,DataColumnRange,_xlfn.XLOOKUP(I$1,dataRowRange,ActualDataRange))</f>
        <v>JFK</v>
      </c>
      <c r="J7" s="31" t="str" cm="1">
        <f t="array" ref="J7">_xlfn.XLOOKUP($A7,DataColumnRange,_xlfn.XLOOKUP(J$1,dataRowRange,ActualDataRange))</f>
        <v>ATL</v>
      </c>
      <c r="K7" s="31" t="str" cm="1">
        <f t="array" ref="K7">_xlfn.XLOOKUP($A7,DataColumnRange,_xlfn.XLOOKUP(K$1,dataRowRange,ActualDataRange))</f>
        <v>Pharma 1 - Active Container</v>
      </c>
      <c r="L7" s="31" t="str" cm="1">
        <f t="array" ref="L7">_xlfn.XLOOKUP($A7,DataColumnRange,_xlfn.XLOOKUP(L$1,dataRowRange,ActualDataRange))</f>
        <v>Test Pharma</v>
      </c>
      <c r="M7" s="31" cm="1">
        <f t="array" ref="M7">_xlfn.XLOOKUP($A7,DataColumnRange,_xlfn.XLOOKUP(M$1,dataRowRange,ActualDataRange))</f>
        <v>10</v>
      </c>
      <c r="N7" s="31" t="str" cm="1">
        <f t="array" ref="N7">_xlfn.XLOOKUP($A7,DataColumnRange,_xlfn.XLOOKUP(N$1,dataRowRange,ActualDataRange))</f>
        <v>LB</v>
      </c>
      <c r="O7" s="31" cm="1">
        <f t="array" ref="O7">_xlfn.XLOOKUP($A7,DataColumnRange,_xlfn.XLOOKUP(O$1,dataRowRange,ActualDataRange))</f>
        <v>1</v>
      </c>
      <c r="P7" s="31" cm="1">
        <f t="array" ref="P7">_xlfn.XLOOKUP($A7,DataColumnRange,_xlfn.XLOOKUP(P$1,dataRowRange,ActualDataRange))</f>
        <v>10</v>
      </c>
      <c r="Q7" s="31" cm="1">
        <f t="array" ref="Q7">_xlfn.XLOOKUP($A7,DataColumnRange,_xlfn.XLOOKUP(Q$1,dataRowRange,ActualDataRange))</f>
        <v>10</v>
      </c>
      <c r="R7" s="31" cm="1">
        <f t="array" ref="R7">_xlfn.XLOOKUP($A7,DataColumnRange,_xlfn.XLOOKUP(R$1,dataRowRange,ActualDataRange))</f>
        <v>10</v>
      </c>
      <c r="S7" s="31" t="str" cm="1">
        <f t="array" ref="S7">_xlfn.XLOOKUP($A7,DataColumnRange,_xlfn.XLOOKUP(S$1,dataRowRange,ActualDataRange))</f>
        <v>IN</v>
      </c>
      <c r="T7" s="31" t="str" cm="1">
        <f t="array" ref="T7">_xlfn.XLOOKUP($A7,DataColumnRange,_xlfn.XLOOKUP(T$1,dataRowRange,ActualDataRange))</f>
        <v>Cubic Feet</v>
      </c>
      <c r="U7" s="31" t="str" cm="1">
        <f t="array" ref="U7">_xlfn.XLOOKUP($A7,DataColumnRange,_xlfn.XLOOKUP(U$1,dataRowRange,ActualDataRange))</f>
        <v>No</v>
      </c>
      <c r="V7" s="31" t="str" cm="1">
        <f t="array" ref="V7">_xlfn.XLOOKUP($A7,DataColumnRange,_xlfn.XLOOKUP(V$1,dataRowRange,ActualDataRange))</f>
        <v>No</v>
      </c>
      <c r="W7" s="31" t="str" cm="1">
        <f t="array" ref="W7">_xlfn.XLOOKUP($A7,DataColumnRange,_xlfn.XLOOKUP(W$1,dataRowRange,ActualDataRange))</f>
        <v>No</v>
      </c>
      <c r="X7" s="31" cm="1">
        <f t="array" ref="X7">_xlfn.XLOOKUP($A7,DataColumnRange,_xlfn.XLOOKUP(X$1,dataRowRange,ActualDataRange))</f>
        <v>2</v>
      </c>
      <c r="Y7" s="31" t="str" cm="1">
        <f t="array" ref="Y7">_xlfn.XLOOKUP($A7,DataColumnRange,_xlfn.XLOOKUP(Y$1,dataRowRange,ActualDataRange))</f>
        <v>No</v>
      </c>
      <c r="Z7" s="31" t="str" cm="1">
        <f t="array" ref="Z7">_xlfn.XLOOKUP($A7,DataColumnRange,_xlfn.XLOOKUP(Z$1,dataRowRange,ActualDataRange))</f>
        <v>NA</v>
      </c>
      <c r="AA7" s="31" t="str" cm="1">
        <f t="array" ref="AA7">_xlfn.XLOOKUP($A7,DataColumnRange,_xlfn.XLOOKUP(AA$1,dataRowRange,ActualDataRange))</f>
        <v>000260018</v>
      </c>
      <c r="AB7" s="31" t="str" cm="1">
        <f t="array" ref="AB7">_xlfn.XLOOKUP($A7,DataColumnRange,_xlfn.XLOOKUP(AB$1,dataRowRange,ActualDataRange))</f>
        <v>GeneralCargoTemplate</v>
      </c>
      <c r="AC7" s="31" t="str" cm="1">
        <f t="array" ref="AC7">_xlfn.XLOOKUP($A7,DataColumnRange,_xlfn.XLOOKUP(AC$1,dataRowRange,ActualDataRange))</f>
        <v>CreditCard</v>
      </c>
      <c r="AD7" s="31" t="str" cm="1">
        <f t="array" ref="AD7">_xlfn.XLOOKUP($A7,DataColumnRange,_xlfn.XLOOKUP(AD$1,dataRowRange,ActualDataRange))</f>
        <v>NA</v>
      </c>
      <c r="AE7" s="31" t="str" cm="1">
        <f t="array" ref="AE7">_xlfn.XLOOKUP($A7,DataColumnRange,_xlfn.XLOOKUP(AE$1,dataRowRange,ActualDataRange))</f>
        <v>Test1</v>
      </c>
      <c r="AF7" s="31" t="str" cm="1">
        <f t="array" ref="AF7">_xlfn.XLOOKUP($A7,DataColumnRange,_xlfn.XLOOKUP(AF$1,dataRowRange,ActualDataRange))</f>
        <v>Test2</v>
      </c>
      <c r="AG7" s="31" t="str" cm="1">
        <f t="array" ref="AG7">_xlfn.XLOOKUP($A7,DataColumnRange,_xlfn.XLOOKUP(AG$1,dataRowRange,ActualDataRange))</f>
        <v>Atlanta</v>
      </c>
      <c r="AH7" s="31" t="str" cm="1">
        <f t="array" ref="AH7">_xlfn.XLOOKUP($A7,DataColumnRange,_xlfn.XLOOKUP(AH$1,dataRowRange,ActualDataRange))</f>
        <v>Georgia</v>
      </c>
      <c r="AI7" s="31" cm="1">
        <f t="array" ref="AI7">_xlfn.XLOOKUP($A7,DataColumnRange,_xlfn.XLOOKUP(AI$1,dataRowRange,ActualDataRange))</f>
        <v>55055</v>
      </c>
      <c r="AJ7" s="31" t="str" cm="1">
        <f t="array" ref="AJ7">_xlfn.XLOOKUP($A7,DataColumnRange,_xlfn.XLOOKUP(AJ$1,dataRowRange,ActualDataRange))</f>
        <v>171276181</v>
      </c>
      <c r="AK7" s="31" t="str" cm="1">
        <f t="array" ref="AK7">_xlfn.XLOOKUP($A7,DataColumnRange,_xlfn.XLOOKUP(AK$1,dataRowRange,ActualDataRange))</f>
        <v>International</v>
      </c>
      <c r="AL7" s="31" cm="1">
        <f t="array" ref="AL7">_xlfn.XLOOKUP($A7,DataColumnRange,_xlfn.XLOOKUP(AL$1,dataRowRange,ActualDataRange))</f>
        <v>0</v>
      </c>
    </row>
    <row r="8" spans="1:38" ht="17" thickBot="1">
      <c r="A8" s="75" t="s">
        <v>367</v>
      </c>
      <c r="B8" s="33" t="s">
        <v>58</v>
      </c>
      <c r="C8" s="33" t="s">
        <v>176</v>
      </c>
      <c r="D8" s="24" t="str">
        <f>IF(TestCaseConfig!$B$3="Yes","Yes","No")</f>
        <v>Yes</v>
      </c>
      <c r="E8" s="31" t="str" cm="1">
        <f t="array" ref="E8">_xlfn.XLOOKUP($A8,DataColumnRange,_xlfn.XLOOKUP(E$1,dataRowRange,ActualDataRange))</f>
        <v>sumit.choudhary@delta.com</v>
      </c>
      <c r="F8" s="31" t="str" cm="1">
        <f t="array" ref="F8">_xlfn.XLOOKUP($A8,DataColumnRange,_xlfn.XLOOKUP(F$1,dataRowRange,ActualDataRange))</f>
        <v>Delta2</v>
      </c>
      <c r="G8" s="31" t="b" cm="1">
        <f t="array" ref="G8">_xlfn.XLOOKUP($A8,DataColumnRange,_xlfn.XLOOKUP(G$1,dataRowRange,ActualDataRange))</f>
        <v>1</v>
      </c>
      <c r="H8" s="31" t="str" cm="1">
        <f t="array" ref="H8">_xlfn.XLOOKUP($A8,DataColumnRange,_xlfn.XLOOKUP(H$1,dataRowRange,ActualDataRange))</f>
        <v>NA</v>
      </c>
      <c r="I8" s="31" t="str" cm="1">
        <f t="array" ref="I8">_xlfn.XLOOKUP($A8,DataColumnRange,_xlfn.XLOOKUP(I$1,dataRowRange,ActualDataRange))</f>
        <v>JFK</v>
      </c>
      <c r="J8" s="31" t="str" cm="1">
        <f t="array" ref="J8">_xlfn.XLOOKUP($A8,DataColumnRange,_xlfn.XLOOKUP(J$1,dataRowRange,ActualDataRange))</f>
        <v>ATL</v>
      </c>
      <c r="K8" s="31" t="str" cm="1">
        <f t="array" ref="K8">_xlfn.XLOOKUP($A8,DataColumnRange,_xlfn.XLOOKUP(K$1,dataRowRange,ActualDataRange))</f>
        <v>Pharma 1 - Passive Container</v>
      </c>
      <c r="L8" s="31" t="str" cm="1">
        <f t="array" ref="L8">_xlfn.XLOOKUP($A8,DataColumnRange,_xlfn.XLOOKUP(L$1,dataRowRange,ActualDataRange))</f>
        <v>Test Pharma</v>
      </c>
      <c r="M8" s="31" cm="1">
        <f t="array" ref="M8">_xlfn.XLOOKUP($A8,DataColumnRange,_xlfn.XLOOKUP(M$1,dataRowRange,ActualDataRange))</f>
        <v>10</v>
      </c>
      <c r="N8" s="31" t="str" cm="1">
        <f t="array" ref="N8">_xlfn.XLOOKUP($A8,DataColumnRange,_xlfn.XLOOKUP(N$1,dataRowRange,ActualDataRange))</f>
        <v>LB</v>
      </c>
      <c r="O8" s="31" cm="1">
        <f t="array" ref="O8">_xlfn.XLOOKUP($A8,DataColumnRange,_xlfn.XLOOKUP(O$1,dataRowRange,ActualDataRange))</f>
        <v>1</v>
      </c>
      <c r="P8" s="31" cm="1">
        <f t="array" ref="P8">_xlfn.XLOOKUP($A8,DataColumnRange,_xlfn.XLOOKUP(P$1,dataRowRange,ActualDataRange))</f>
        <v>10</v>
      </c>
      <c r="Q8" s="31" cm="1">
        <f t="array" ref="Q8">_xlfn.XLOOKUP($A8,DataColumnRange,_xlfn.XLOOKUP(Q$1,dataRowRange,ActualDataRange))</f>
        <v>10</v>
      </c>
      <c r="R8" s="31" cm="1">
        <f t="array" ref="R8">_xlfn.XLOOKUP($A8,DataColumnRange,_xlfn.XLOOKUP(R$1,dataRowRange,ActualDataRange))</f>
        <v>10</v>
      </c>
      <c r="S8" s="31" t="str" cm="1">
        <f t="array" ref="S8">_xlfn.XLOOKUP($A8,DataColumnRange,_xlfn.XLOOKUP(S$1,dataRowRange,ActualDataRange))</f>
        <v>IN</v>
      </c>
      <c r="T8" s="31" t="str" cm="1">
        <f t="array" ref="T8">_xlfn.XLOOKUP($A8,DataColumnRange,_xlfn.XLOOKUP(T$1,dataRowRange,ActualDataRange))</f>
        <v>Cubic Feet</v>
      </c>
      <c r="U8" s="31" t="str" cm="1">
        <f t="array" ref="U8">_xlfn.XLOOKUP($A8,DataColumnRange,_xlfn.XLOOKUP(U$1,dataRowRange,ActualDataRange))</f>
        <v>No</v>
      </c>
      <c r="V8" s="31" t="str" cm="1">
        <f t="array" ref="V8">_xlfn.XLOOKUP($A8,DataColumnRange,_xlfn.XLOOKUP(V$1,dataRowRange,ActualDataRange))</f>
        <v>No</v>
      </c>
      <c r="W8" s="31" t="str" cm="1">
        <f t="array" ref="W8">_xlfn.XLOOKUP($A8,DataColumnRange,_xlfn.XLOOKUP(W$1,dataRowRange,ActualDataRange))</f>
        <v>No</v>
      </c>
      <c r="X8" s="31" cm="1">
        <f t="array" ref="X8">_xlfn.XLOOKUP($A8,DataColumnRange,_xlfn.XLOOKUP(X$1,dataRowRange,ActualDataRange))</f>
        <v>2</v>
      </c>
      <c r="Y8" s="31" t="str" cm="1">
        <f t="array" ref="Y8">_xlfn.XLOOKUP($A8,DataColumnRange,_xlfn.XLOOKUP(Y$1,dataRowRange,ActualDataRange))</f>
        <v>No</v>
      </c>
      <c r="Z8" s="31" t="str" cm="1">
        <f t="array" ref="Z8">_xlfn.XLOOKUP($A8,DataColumnRange,_xlfn.XLOOKUP(Z$1,dataRowRange,ActualDataRange))</f>
        <v>NA</v>
      </c>
      <c r="AA8" s="31" t="str" cm="1">
        <f t="array" ref="AA8">_xlfn.XLOOKUP($A8,DataColumnRange,_xlfn.XLOOKUP(AA$1,dataRowRange,ActualDataRange))</f>
        <v>000260018</v>
      </c>
      <c r="AB8" s="31" t="str" cm="1">
        <f t="array" ref="AB8">_xlfn.XLOOKUP($A8,DataColumnRange,_xlfn.XLOOKUP(AB$1,dataRowRange,ActualDataRange))</f>
        <v>GeneralCargoTemplate</v>
      </c>
      <c r="AC8" s="31" t="str" cm="1">
        <f t="array" ref="AC8">_xlfn.XLOOKUP($A8,DataColumnRange,_xlfn.XLOOKUP(AC$1,dataRowRange,ActualDataRange))</f>
        <v>CreditCard</v>
      </c>
      <c r="AD8" s="31" t="str" cm="1">
        <f t="array" ref="AD8">_xlfn.XLOOKUP($A8,DataColumnRange,_xlfn.XLOOKUP(AD$1,dataRowRange,ActualDataRange))</f>
        <v>NA</v>
      </c>
      <c r="AE8" s="31" t="str" cm="1">
        <f t="array" ref="AE8">_xlfn.XLOOKUP($A8,DataColumnRange,_xlfn.XLOOKUP(AE$1,dataRowRange,ActualDataRange))</f>
        <v>Test1</v>
      </c>
      <c r="AF8" s="31" t="str" cm="1">
        <f t="array" ref="AF8">_xlfn.XLOOKUP($A8,DataColumnRange,_xlfn.XLOOKUP(AF$1,dataRowRange,ActualDataRange))</f>
        <v>Test2</v>
      </c>
      <c r="AG8" s="31" t="str" cm="1">
        <f t="array" ref="AG8">_xlfn.XLOOKUP($A8,DataColumnRange,_xlfn.XLOOKUP(AG$1,dataRowRange,ActualDataRange))</f>
        <v>Atlanta</v>
      </c>
      <c r="AH8" s="31" t="str" cm="1">
        <f t="array" ref="AH8">_xlfn.XLOOKUP($A8,DataColumnRange,_xlfn.XLOOKUP(AH$1,dataRowRange,ActualDataRange))</f>
        <v>Georgia</v>
      </c>
      <c r="AI8" s="31" cm="1">
        <f t="array" ref="AI8">_xlfn.XLOOKUP($A8,DataColumnRange,_xlfn.XLOOKUP(AI$1,dataRowRange,ActualDataRange))</f>
        <v>55055</v>
      </c>
      <c r="AJ8" s="31" t="str" cm="1">
        <f t="array" ref="AJ8">_xlfn.XLOOKUP($A8,DataColumnRange,_xlfn.XLOOKUP(AJ$1,dataRowRange,ActualDataRange))</f>
        <v>171276181</v>
      </c>
      <c r="AK8" s="31" t="str" cm="1">
        <f t="array" ref="AK8">_xlfn.XLOOKUP($A8,DataColumnRange,_xlfn.XLOOKUP(AK$1,dataRowRange,ActualDataRange))</f>
        <v>International</v>
      </c>
      <c r="AL8" s="31" cm="1">
        <f t="array" ref="AL8">_xlfn.XLOOKUP($A8,DataColumnRange,_xlfn.XLOOKUP(AL$1,dataRowRange,ActualDataRange))</f>
        <v>0</v>
      </c>
    </row>
    <row r="9" spans="1:38" ht="17" thickBot="1">
      <c r="A9" s="75" t="s">
        <v>368</v>
      </c>
      <c r="B9" s="33" t="s">
        <v>58</v>
      </c>
      <c r="C9" s="33" t="s">
        <v>176</v>
      </c>
      <c r="D9" s="24" t="str">
        <f>IF(TestCaseConfig!$B$3="Yes","Yes","No")</f>
        <v>Yes</v>
      </c>
      <c r="E9" s="31" t="str" cm="1">
        <f t="array" ref="E9">_xlfn.XLOOKUP($A9,DataColumnRange,_xlfn.XLOOKUP(E$1,dataRowRange,ActualDataRange))</f>
        <v>sumit.choudhary@delta.com</v>
      </c>
      <c r="F9" s="31" t="str" cm="1">
        <f t="array" ref="F9">_xlfn.XLOOKUP($A9,DataColumnRange,_xlfn.XLOOKUP(F$1,dataRowRange,ActualDataRange))</f>
        <v>Delta2</v>
      </c>
      <c r="G9" s="31" t="b" cm="1">
        <f t="array" ref="G9">_xlfn.XLOOKUP($A9,DataColumnRange,_xlfn.XLOOKUP(G$1,dataRowRange,ActualDataRange))</f>
        <v>1</v>
      </c>
      <c r="H9" s="31" t="str" cm="1">
        <f t="array" ref="H9">_xlfn.XLOOKUP($A9,DataColumnRange,_xlfn.XLOOKUP(H$1,dataRowRange,ActualDataRange))</f>
        <v>NA</v>
      </c>
      <c r="I9" s="31" t="str" cm="1">
        <f t="array" ref="I9">_xlfn.XLOOKUP($A9,DataColumnRange,_xlfn.XLOOKUP(I$1,dataRowRange,ActualDataRange))</f>
        <v>JFK</v>
      </c>
      <c r="J9" s="31" t="str" cm="1">
        <f t="array" ref="J9">_xlfn.XLOOKUP($A9,DataColumnRange,_xlfn.XLOOKUP(J$1,dataRowRange,ActualDataRange))</f>
        <v>ATL</v>
      </c>
      <c r="K9" s="31" t="str" cm="1">
        <f t="array" ref="K9">_xlfn.XLOOKUP($A9,DataColumnRange,_xlfn.XLOOKUP(K$1,dataRowRange,ActualDataRange))</f>
        <v>Pharma 2 - Temperature controlled between +2°C to +8°C</v>
      </c>
      <c r="L9" s="31" t="str" cm="1">
        <f t="array" ref="L9">_xlfn.XLOOKUP($A9,DataColumnRange,_xlfn.XLOOKUP(L$1,dataRowRange,ActualDataRange))</f>
        <v>Test Pharma</v>
      </c>
      <c r="M9" s="31" cm="1">
        <f t="array" ref="M9">_xlfn.XLOOKUP($A9,DataColumnRange,_xlfn.XLOOKUP(M$1,dataRowRange,ActualDataRange))</f>
        <v>10</v>
      </c>
      <c r="N9" s="31" t="str" cm="1">
        <f t="array" ref="N9">_xlfn.XLOOKUP($A9,DataColumnRange,_xlfn.XLOOKUP(N$1,dataRowRange,ActualDataRange))</f>
        <v>LB</v>
      </c>
      <c r="O9" s="31" cm="1">
        <f t="array" ref="O9">_xlfn.XLOOKUP($A9,DataColumnRange,_xlfn.XLOOKUP(O$1,dataRowRange,ActualDataRange))</f>
        <v>1</v>
      </c>
      <c r="P9" s="31" cm="1">
        <f t="array" ref="P9">_xlfn.XLOOKUP($A9,DataColumnRange,_xlfn.XLOOKUP(P$1,dataRowRange,ActualDataRange))</f>
        <v>10</v>
      </c>
      <c r="Q9" s="31" cm="1">
        <f t="array" ref="Q9">_xlfn.XLOOKUP($A9,DataColumnRange,_xlfn.XLOOKUP(Q$1,dataRowRange,ActualDataRange))</f>
        <v>10</v>
      </c>
      <c r="R9" s="31" cm="1">
        <f t="array" ref="R9">_xlfn.XLOOKUP($A9,DataColumnRange,_xlfn.XLOOKUP(R$1,dataRowRange,ActualDataRange))</f>
        <v>10</v>
      </c>
      <c r="S9" s="31" t="str" cm="1">
        <f t="array" ref="S9">_xlfn.XLOOKUP($A9,DataColumnRange,_xlfn.XLOOKUP(S$1,dataRowRange,ActualDataRange))</f>
        <v>IN</v>
      </c>
      <c r="T9" s="31" t="str" cm="1">
        <f t="array" ref="T9">_xlfn.XLOOKUP($A9,DataColumnRange,_xlfn.XLOOKUP(T$1,dataRowRange,ActualDataRange))</f>
        <v>Cubic Feet</v>
      </c>
      <c r="U9" s="31" t="str" cm="1">
        <f t="array" ref="U9">_xlfn.XLOOKUP($A9,DataColumnRange,_xlfn.XLOOKUP(U$1,dataRowRange,ActualDataRange))</f>
        <v>No</v>
      </c>
      <c r="V9" s="31" t="str" cm="1">
        <f t="array" ref="V9">_xlfn.XLOOKUP($A9,DataColumnRange,_xlfn.XLOOKUP(V$1,dataRowRange,ActualDataRange))</f>
        <v>No</v>
      </c>
      <c r="W9" s="31" t="str" cm="1">
        <f t="array" ref="W9">_xlfn.XLOOKUP($A9,DataColumnRange,_xlfn.XLOOKUP(W$1,dataRowRange,ActualDataRange))</f>
        <v>No</v>
      </c>
      <c r="X9" s="31" cm="1">
        <f t="array" ref="X9">_xlfn.XLOOKUP($A9,DataColumnRange,_xlfn.XLOOKUP(X$1,dataRowRange,ActualDataRange))</f>
        <v>2</v>
      </c>
      <c r="Y9" s="31" t="str" cm="1">
        <f t="array" ref="Y9">_xlfn.XLOOKUP($A9,DataColumnRange,_xlfn.XLOOKUP(Y$1,dataRowRange,ActualDataRange))</f>
        <v>No</v>
      </c>
      <c r="Z9" s="31" t="str" cm="1">
        <f t="array" ref="Z9">_xlfn.XLOOKUP($A9,DataColumnRange,_xlfn.XLOOKUP(Z$1,dataRowRange,ActualDataRange))</f>
        <v>NA</v>
      </c>
      <c r="AA9" s="31" t="str" cm="1">
        <f t="array" ref="AA9">_xlfn.XLOOKUP($A9,DataColumnRange,_xlfn.XLOOKUP(AA$1,dataRowRange,ActualDataRange))</f>
        <v>000260018</v>
      </c>
      <c r="AB9" s="31" t="str" cm="1">
        <f t="array" ref="AB9">_xlfn.XLOOKUP($A9,DataColumnRange,_xlfn.XLOOKUP(AB$1,dataRowRange,ActualDataRange))</f>
        <v>GeneralCargoTemplate</v>
      </c>
      <c r="AC9" s="31" t="str" cm="1">
        <f t="array" ref="AC9">_xlfn.XLOOKUP($A9,DataColumnRange,_xlfn.XLOOKUP(AC$1,dataRowRange,ActualDataRange))</f>
        <v>CreditCard</v>
      </c>
      <c r="AD9" s="31" t="str" cm="1">
        <f t="array" ref="AD9">_xlfn.XLOOKUP($A9,DataColumnRange,_xlfn.XLOOKUP(AD$1,dataRowRange,ActualDataRange))</f>
        <v>NA</v>
      </c>
      <c r="AE9" s="31" t="str" cm="1">
        <f t="array" ref="AE9">_xlfn.XLOOKUP($A9,DataColumnRange,_xlfn.XLOOKUP(AE$1,dataRowRange,ActualDataRange))</f>
        <v>Test1</v>
      </c>
      <c r="AF9" s="31" t="str" cm="1">
        <f t="array" ref="AF9">_xlfn.XLOOKUP($A9,DataColumnRange,_xlfn.XLOOKUP(AF$1,dataRowRange,ActualDataRange))</f>
        <v>Test2</v>
      </c>
      <c r="AG9" s="31" t="str" cm="1">
        <f t="array" ref="AG9">_xlfn.XLOOKUP($A9,DataColumnRange,_xlfn.XLOOKUP(AG$1,dataRowRange,ActualDataRange))</f>
        <v>Atlanta</v>
      </c>
      <c r="AH9" s="31" t="str" cm="1">
        <f t="array" ref="AH9">_xlfn.XLOOKUP($A9,DataColumnRange,_xlfn.XLOOKUP(AH$1,dataRowRange,ActualDataRange))</f>
        <v>Georgia</v>
      </c>
      <c r="AI9" s="31" cm="1">
        <f t="array" ref="AI9">_xlfn.XLOOKUP($A9,DataColumnRange,_xlfn.XLOOKUP(AI$1,dataRowRange,ActualDataRange))</f>
        <v>55055</v>
      </c>
      <c r="AJ9" s="31" t="str" cm="1">
        <f t="array" ref="AJ9">_xlfn.XLOOKUP($A9,DataColumnRange,_xlfn.XLOOKUP(AJ$1,dataRowRange,ActualDataRange))</f>
        <v>171276181</v>
      </c>
      <c r="AK9" s="31" t="str" cm="1">
        <f t="array" ref="AK9">_xlfn.XLOOKUP($A9,DataColumnRange,_xlfn.XLOOKUP(AK$1,dataRowRange,ActualDataRange))</f>
        <v>International</v>
      </c>
      <c r="AL9" s="31" cm="1">
        <f t="array" ref="AL9">_xlfn.XLOOKUP($A9,DataColumnRange,_xlfn.XLOOKUP(AL$1,dataRowRange,ActualDataRange))</f>
        <v>0</v>
      </c>
    </row>
    <row r="10" spans="1:38" ht="17" thickBot="1">
      <c r="A10" s="75" t="s">
        <v>369</v>
      </c>
      <c r="B10" s="33" t="s">
        <v>58</v>
      </c>
      <c r="C10" s="33" t="s">
        <v>176</v>
      </c>
      <c r="D10" s="24" t="str">
        <f>IF(TestCaseConfig!$B$3="Yes","Yes","No")</f>
        <v>Yes</v>
      </c>
      <c r="E10" s="31" t="str" cm="1">
        <f t="array" ref="E10">_xlfn.XLOOKUP($A10,DataColumnRange,_xlfn.XLOOKUP(E$1,dataRowRange,ActualDataRange))</f>
        <v>sumit.choudhary@delta.com</v>
      </c>
      <c r="F10" s="31" t="str" cm="1">
        <f t="array" ref="F10">_xlfn.XLOOKUP($A10,DataColumnRange,_xlfn.XLOOKUP(F$1,dataRowRange,ActualDataRange))</f>
        <v>Delta2</v>
      </c>
      <c r="G10" s="31" t="b" cm="1">
        <f t="array" ref="G10">_xlfn.XLOOKUP($A10,DataColumnRange,_xlfn.XLOOKUP(G$1,dataRowRange,ActualDataRange))</f>
        <v>1</v>
      </c>
      <c r="H10" s="31" t="str" cm="1">
        <f t="array" ref="H10">_xlfn.XLOOKUP($A10,DataColumnRange,_xlfn.XLOOKUP(H$1,dataRowRange,ActualDataRange))</f>
        <v>NA</v>
      </c>
      <c r="I10" s="31" t="str" cm="1">
        <f t="array" ref="I10">_xlfn.XLOOKUP($A10,DataColumnRange,_xlfn.XLOOKUP(I$1,dataRowRange,ActualDataRange))</f>
        <v>JFK</v>
      </c>
      <c r="J10" s="31" t="str" cm="1">
        <f t="array" ref="J10">_xlfn.XLOOKUP($A10,DataColumnRange,_xlfn.XLOOKUP(J$1,dataRowRange,ActualDataRange))</f>
        <v>ATL</v>
      </c>
      <c r="K10" s="31" t="str" cm="1">
        <f t="array" ref="K10">_xlfn.XLOOKUP($A10,DataColumnRange,_xlfn.XLOOKUP(K$1,dataRowRange,ActualDataRange))</f>
        <v>Pharma 3 - Temperature controlled between +2°C to +25°C</v>
      </c>
      <c r="L10" s="31" t="str" cm="1">
        <f t="array" ref="L10">_xlfn.XLOOKUP($A10,DataColumnRange,_xlfn.XLOOKUP(L$1,dataRowRange,ActualDataRange))</f>
        <v>Test Pharma</v>
      </c>
      <c r="M10" s="31" cm="1">
        <f t="array" ref="M10">_xlfn.XLOOKUP($A10,DataColumnRange,_xlfn.XLOOKUP(M$1,dataRowRange,ActualDataRange))</f>
        <v>10</v>
      </c>
      <c r="N10" s="31" t="str" cm="1">
        <f t="array" ref="N10">_xlfn.XLOOKUP($A10,DataColumnRange,_xlfn.XLOOKUP(N$1,dataRowRange,ActualDataRange))</f>
        <v>LB</v>
      </c>
      <c r="O10" s="31" cm="1">
        <f t="array" ref="O10">_xlfn.XLOOKUP($A10,DataColumnRange,_xlfn.XLOOKUP(O$1,dataRowRange,ActualDataRange))</f>
        <v>1</v>
      </c>
      <c r="P10" s="31" cm="1">
        <f t="array" ref="P10">_xlfn.XLOOKUP($A10,DataColumnRange,_xlfn.XLOOKUP(P$1,dataRowRange,ActualDataRange))</f>
        <v>10</v>
      </c>
      <c r="Q10" s="31" cm="1">
        <f t="array" ref="Q10">_xlfn.XLOOKUP($A10,DataColumnRange,_xlfn.XLOOKUP(Q$1,dataRowRange,ActualDataRange))</f>
        <v>10</v>
      </c>
      <c r="R10" s="31" cm="1">
        <f t="array" ref="R10">_xlfn.XLOOKUP($A10,DataColumnRange,_xlfn.XLOOKUP(R$1,dataRowRange,ActualDataRange))</f>
        <v>10</v>
      </c>
      <c r="S10" s="31" t="str" cm="1">
        <f t="array" ref="S10">_xlfn.XLOOKUP($A10,DataColumnRange,_xlfn.XLOOKUP(S$1,dataRowRange,ActualDataRange))</f>
        <v>IN</v>
      </c>
      <c r="T10" s="31" t="str" cm="1">
        <f t="array" ref="T10">_xlfn.XLOOKUP($A10,DataColumnRange,_xlfn.XLOOKUP(T$1,dataRowRange,ActualDataRange))</f>
        <v>Cubic Feet</v>
      </c>
      <c r="U10" s="31" t="str" cm="1">
        <f t="array" ref="U10">_xlfn.XLOOKUP($A10,DataColumnRange,_xlfn.XLOOKUP(U$1,dataRowRange,ActualDataRange))</f>
        <v>No</v>
      </c>
      <c r="V10" s="31" t="str" cm="1">
        <f t="array" ref="V10">_xlfn.XLOOKUP($A10,DataColumnRange,_xlfn.XLOOKUP(V$1,dataRowRange,ActualDataRange))</f>
        <v>No</v>
      </c>
      <c r="W10" s="31" t="str" cm="1">
        <f t="array" ref="W10">_xlfn.XLOOKUP($A10,DataColumnRange,_xlfn.XLOOKUP(W$1,dataRowRange,ActualDataRange))</f>
        <v>No</v>
      </c>
      <c r="X10" s="31" cm="1">
        <f t="array" ref="X10">_xlfn.XLOOKUP($A10,DataColumnRange,_xlfn.XLOOKUP(X$1,dataRowRange,ActualDataRange))</f>
        <v>2</v>
      </c>
      <c r="Y10" s="31" t="str" cm="1">
        <f t="array" ref="Y10">_xlfn.XLOOKUP($A10,DataColumnRange,_xlfn.XLOOKUP(Y$1,dataRowRange,ActualDataRange))</f>
        <v>No</v>
      </c>
      <c r="Z10" s="31" t="str" cm="1">
        <f t="array" ref="Z10">_xlfn.XLOOKUP($A10,DataColumnRange,_xlfn.XLOOKUP(Z$1,dataRowRange,ActualDataRange))</f>
        <v>NA</v>
      </c>
      <c r="AA10" s="31" t="str" cm="1">
        <f t="array" ref="AA10">_xlfn.XLOOKUP($A10,DataColumnRange,_xlfn.XLOOKUP(AA$1,dataRowRange,ActualDataRange))</f>
        <v>000260018</v>
      </c>
      <c r="AB10" s="31" t="str" cm="1">
        <f t="array" ref="AB10">_xlfn.XLOOKUP($A10,DataColumnRange,_xlfn.XLOOKUP(AB$1,dataRowRange,ActualDataRange))</f>
        <v>GeneralCargoTemplate</v>
      </c>
      <c r="AC10" s="31" t="str" cm="1">
        <f t="array" ref="AC10">_xlfn.XLOOKUP($A10,DataColumnRange,_xlfn.XLOOKUP(AC$1,dataRowRange,ActualDataRange))</f>
        <v>CreditCard</v>
      </c>
      <c r="AD10" s="31" t="str" cm="1">
        <f t="array" ref="AD10">_xlfn.XLOOKUP($A10,DataColumnRange,_xlfn.XLOOKUP(AD$1,dataRowRange,ActualDataRange))</f>
        <v>NA</v>
      </c>
      <c r="AE10" s="31" t="str" cm="1">
        <f t="array" ref="AE10">_xlfn.XLOOKUP($A10,DataColumnRange,_xlfn.XLOOKUP(AE$1,dataRowRange,ActualDataRange))</f>
        <v>Test1</v>
      </c>
      <c r="AF10" s="31" t="str" cm="1">
        <f t="array" ref="AF10">_xlfn.XLOOKUP($A10,DataColumnRange,_xlfn.XLOOKUP(AF$1,dataRowRange,ActualDataRange))</f>
        <v>Test2</v>
      </c>
      <c r="AG10" s="31" t="str" cm="1">
        <f t="array" ref="AG10">_xlfn.XLOOKUP($A10,DataColumnRange,_xlfn.XLOOKUP(AG$1,dataRowRange,ActualDataRange))</f>
        <v>Atlanta</v>
      </c>
      <c r="AH10" s="31" t="str" cm="1">
        <f t="array" ref="AH10">_xlfn.XLOOKUP($A10,DataColumnRange,_xlfn.XLOOKUP(AH$1,dataRowRange,ActualDataRange))</f>
        <v>Georgia</v>
      </c>
      <c r="AI10" s="31" cm="1">
        <f t="array" ref="AI10">_xlfn.XLOOKUP($A10,DataColumnRange,_xlfn.XLOOKUP(AI$1,dataRowRange,ActualDataRange))</f>
        <v>55055</v>
      </c>
      <c r="AJ10" s="31" t="str" cm="1">
        <f t="array" ref="AJ10">_xlfn.XLOOKUP($A10,DataColumnRange,_xlfn.XLOOKUP(AJ$1,dataRowRange,ActualDataRange))</f>
        <v>171276181</v>
      </c>
      <c r="AK10" s="31" t="str" cm="1">
        <f t="array" ref="AK10">_xlfn.XLOOKUP($A10,DataColumnRange,_xlfn.XLOOKUP(AK$1,dataRowRange,ActualDataRange))</f>
        <v>International</v>
      </c>
      <c r="AL10" s="31" cm="1">
        <f t="array" ref="AL10">_xlfn.XLOOKUP($A10,DataColumnRange,_xlfn.XLOOKUP(AL$1,dataRowRange,ActualDataRange))</f>
        <v>0</v>
      </c>
    </row>
    <row r="11" spans="1:38" ht="17" thickBot="1">
      <c r="A11" s="75" t="s">
        <v>370</v>
      </c>
      <c r="B11" s="33" t="s">
        <v>58</v>
      </c>
      <c r="C11" s="33" t="s">
        <v>176</v>
      </c>
      <c r="D11" s="24" t="str">
        <f>IF(TestCaseConfig!$B$3="Yes","Yes","No")</f>
        <v>Yes</v>
      </c>
      <c r="E11" s="31" t="str" cm="1">
        <f t="array" ref="E11">_xlfn.XLOOKUP($A11,DataColumnRange,_xlfn.XLOOKUP(E$1,dataRowRange,ActualDataRange))</f>
        <v>sumit.choudhary@delta.com</v>
      </c>
      <c r="F11" s="31" t="str" cm="1">
        <f t="array" ref="F11">_xlfn.XLOOKUP($A11,DataColumnRange,_xlfn.XLOOKUP(F$1,dataRowRange,ActualDataRange))</f>
        <v>Delta2</v>
      </c>
      <c r="G11" s="31" t="b" cm="1">
        <f t="array" ref="G11">_xlfn.XLOOKUP($A11,DataColumnRange,_xlfn.XLOOKUP(G$1,dataRowRange,ActualDataRange))</f>
        <v>1</v>
      </c>
      <c r="H11" s="31" t="str" cm="1">
        <f t="array" ref="H11">_xlfn.XLOOKUP($A11,DataColumnRange,_xlfn.XLOOKUP(H$1,dataRowRange,ActualDataRange))</f>
        <v>NA</v>
      </c>
      <c r="I11" s="31" t="str" cm="1">
        <f t="array" ref="I11">_xlfn.XLOOKUP($A11,DataColumnRange,_xlfn.XLOOKUP(I$1,dataRowRange,ActualDataRange))</f>
        <v>JFK</v>
      </c>
      <c r="J11" s="31" t="str" cm="1">
        <f t="array" ref="J11">_xlfn.XLOOKUP($A11,DataColumnRange,_xlfn.XLOOKUP(J$1,dataRowRange,ActualDataRange))</f>
        <v>ATL</v>
      </c>
      <c r="K11" s="31" t="str" cm="1">
        <f t="array" ref="K11">_xlfn.XLOOKUP($A11,DataColumnRange,_xlfn.XLOOKUP(K$1,dataRowRange,ActualDataRange))</f>
        <v>Pharma 4 - Temperature controlled between +15°C to +25°C</v>
      </c>
      <c r="L11" s="31" t="str" cm="1">
        <f t="array" ref="L11">_xlfn.XLOOKUP($A11,DataColumnRange,_xlfn.XLOOKUP(L$1,dataRowRange,ActualDataRange))</f>
        <v>Test Pharma</v>
      </c>
      <c r="M11" s="31" cm="1">
        <f t="array" ref="M11">_xlfn.XLOOKUP($A11,DataColumnRange,_xlfn.XLOOKUP(M$1,dataRowRange,ActualDataRange))</f>
        <v>10</v>
      </c>
      <c r="N11" s="31" t="str" cm="1">
        <f t="array" ref="N11">_xlfn.XLOOKUP($A11,DataColumnRange,_xlfn.XLOOKUP(N$1,dataRowRange,ActualDataRange))</f>
        <v>LB</v>
      </c>
      <c r="O11" s="31" cm="1">
        <f t="array" ref="O11">_xlfn.XLOOKUP($A11,DataColumnRange,_xlfn.XLOOKUP(O$1,dataRowRange,ActualDataRange))</f>
        <v>1</v>
      </c>
      <c r="P11" s="31" cm="1">
        <f t="array" ref="P11">_xlfn.XLOOKUP($A11,DataColumnRange,_xlfn.XLOOKUP(P$1,dataRowRange,ActualDataRange))</f>
        <v>10</v>
      </c>
      <c r="Q11" s="31" cm="1">
        <f t="array" ref="Q11">_xlfn.XLOOKUP($A11,DataColumnRange,_xlfn.XLOOKUP(Q$1,dataRowRange,ActualDataRange))</f>
        <v>10</v>
      </c>
      <c r="R11" s="31" cm="1">
        <f t="array" ref="R11">_xlfn.XLOOKUP($A11,DataColumnRange,_xlfn.XLOOKUP(R$1,dataRowRange,ActualDataRange))</f>
        <v>10</v>
      </c>
      <c r="S11" s="31" t="str" cm="1">
        <f t="array" ref="S11">_xlfn.XLOOKUP($A11,DataColumnRange,_xlfn.XLOOKUP(S$1,dataRowRange,ActualDataRange))</f>
        <v>IN</v>
      </c>
      <c r="T11" s="31" t="str" cm="1">
        <f t="array" ref="T11">_xlfn.XLOOKUP($A11,DataColumnRange,_xlfn.XLOOKUP(T$1,dataRowRange,ActualDataRange))</f>
        <v>Cubic Feet</v>
      </c>
      <c r="U11" s="31" t="str" cm="1">
        <f t="array" ref="U11">_xlfn.XLOOKUP($A11,DataColumnRange,_xlfn.XLOOKUP(U$1,dataRowRange,ActualDataRange))</f>
        <v>No</v>
      </c>
      <c r="V11" s="31" t="str" cm="1">
        <f t="array" ref="V11">_xlfn.XLOOKUP($A11,DataColumnRange,_xlfn.XLOOKUP(V$1,dataRowRange,ActualDataRange))</f>
        <v>No</v>
      </c>
      <c r="W11" s="31" t="str" cm="1">
        <f t="array" ref="W11">_xlfn.XLOOKUP($A11,DataColumnRange,_xlfn.XLOOKUP(W$1,dataRowRange,ActualDataRange))</f>
        <v>No</v>
      </c>
      <c r="X11" s="31" cm="1">
        <f t="array" ref="X11">_xlfn.XLOOKUP($A11,DataColumnRange,_xlfn.XLOOKUP(X$1,dataRowRange,ActualDataRange))</f>
        <v>2</v>
      </c>
      <c r="Y11" s="31" t="str" cm="1">
        <f t="array" ref="Y11">_xlfn.XLOOKUP($A11,DataColumnRange,_xlfn.XLOOKUP(Y$1,dataRowRange,ActualDataRange))</f>
        <v>No</v>
      </c>
      <c r="Z11" s="31" t="str" cm="1">
        <f t="array" ref="Z11">_xlfn.XLOOKUP($A11,DataColumnRange,_xlfn.XLOOKUP(Z$1,dataRowRange,ActualDataRange))</f>
        <v>NA</v>
      </c>
      <c r="AA11" s="31" t="str" cm="1">
        <f t="array" ref="AA11">_xlfn.XLOOKUP($A11,DataColumnRange,_xlfn.XLOOKUP(AA$1,dataRowRange,ActualDataRange))</f>
        <v>000260018</v>
      </c>
      <c r="AB11" s="31" t="str" cm="1">
        <f t="array" ref="AB11">_xlfn.XLOOKUP($A11,DataColumnRange,_xlfn.XLOOKUP(AB$1,dataRowRange,ActualDataRange))</f>
        <v>GeneralCargoTemplate</v>
      </c>
      <c r="AC11" s="31" t="str" cm="1">
        <f t="array" ref="AC11">_xlfn.XLOOKUP($A11,DataColumnRange,_xlfn.XLOOKUP(AC$1,dataRowRange,ActualDataRange))</f>
        <v>CreditCard</v>
      </c>
      <c r="AD11" s="31" t="str" cm="1">
        <f t="array" ref="AD11">_xlfn.XLOOKUP($A11,DataColumnRange,_xlfn.XLOOKUP(AD$1,dataRowRange,ActualDataRange))</f>
        <v>NA</v>
      </c>
      <c r="AE11" s="31" t="str" cm="1">
        <f t="array" ref="AE11">_xlfn.XLOOKUP($A11,DataColumnRange,_xlfn.XLOOKUP(AE$1,dataRowRange,ActualDataRange))</f>
        <v>Test1</v>
      </c>
      <c r="AF11" s="31" t="str" cm="1">
        <f t="array" ref="AF11">_xlfn.XLOOKUP($A11,DataColumnRange,_xlfn.XLOOKUP(AF$1,dataRowRange,ActualDataRange))</f>
        <v>Test2</v>
      </c>
      <c r="AG11" s="31" t="str" cm="1">
        <f t="array" ref="AG11">_xlfn.XLOOKUP($A11,DataColumnRange,_xlfn.XLOOKUP(AG$1,dataRowRange,ActualDataRange))</f>
        <v>Atlanta</v>
      </c>
      <c r="AH11" s="31" t="str" cm="1">
        <f t="array" ref="AH11">_xlfn.XLOOKUP($A11,DataColumnRange,_xlfn.XLOOKUP(AH$1,dataRowRange,ActualDataRange))</f>
        <v>Georgia</v>
      </c>
      <c r="AI11" s="31" cm="1">
        <f t="array" ref="AI11">_xlfn.XLOOKUP($A11,DataColumnRange,_xlfn.XLOOKUP(AI$1,dataRowRange,ActualDataRange))</f>
        <v>55055</v>
      </c>
      <c r="AJ11" s="31" t="str" cm="1">
        <f t="array" ref="AJ11">_xlfn.XLOOKUP($A11,DataColumnRange,_xlfn.XLOOKUP(AJ$1,dataRowRange,ActualDataRange))</f>
        <v>171276181</v>
      </c>
      <c r="AK11" s="31" t="str" cm="1">
        <f t="array" ref="AK11">_xlfn.XLOOKUP($A11,DataColumnRange,_xlfn.XLOOKUP(AK$1,dataRowRange,ActualDataRange))</f>
        <v>International</v>
      </c>
      <c r="AL11" s="31" cm="1">
        <f t="array" ref="AL11">_xlfn.XLOOKUP($A11,DataColumnRange,_xlfn.XLOOKUP(AL$1,dataRowRange,ActualDataRange))</f>
        <v>0</v>
      </c>
    </row>
  </sheetData>
  <hyperlinks>
    <hyperlink ref="D2" location="AdvBkngSTD!A1" display="AdvBkngSTD" xr:uid="{FAD25EAD-C49D-D243-BE8B-776583D824A2}"/>
    <hyperlink ref="D3:D6" location="AdvBkngSTD!A1" display="AdvBkngSTD" xr:uid="{35E50A40-AFE5-6B4B-BD2F-5C902366D8A1}"/>
    <hyperlink ref="A1" location="TestCaseConfig!A1" display="Testcase" xr:uid="{AFD3F7E3-3FA5-C34E-A507-9C85990563D1}"/>
    <hyperlink ref="D7:D11" location="AdvBkngSTD!A1" display="AdvBkngSTD" xr:uid="{88888B02-53B1-344C-A637-AE37FE06E77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2B8C-B72A-DD49-A994-304B68688876}">
  <dimension ref="A1:AL13"/>
  <sheetViews>
    <sheetView topLeftCell="E1" zoomScale="106" zoomScaleNormal="106" workbookViewId="0">
      <selection activeCell="A19" sqref="A19"/>
    </sheetView>
  </sheetViews>
  <sheetFormatPr defaultColWidth="10.83203125" defaultRowHeight="15.5"/>
  <cols>
    <col min="1" max="1" width="131.5" style="11" bestFit="1" customWidth="1"/>
    <col min="2" max="3" width="10.83203125" style="11"/>
    <col min="4" max="4" width="13" style="11" customWidth="1"/>
    <col min="5" max="5" width="23.83203125" style="11" bestFit="1" customWidth="1"/>
    <col min="6" max="10" width="10.83203125" style="11"/>
    <col min="11" max="11" width="47.33203125" style="11" bestFit="1" customWidth="1"/>
    <col min="12" max="12" width="18.33203125" style="28" bestFit="1" customWidth="1"/>
    <col min="13" max="16384" width="10.83203125" style="11"/>
  </cols>
  <sheetData>
    <row r="1" spans="1:38">
      <c r="A1" s="19" t="s">
        <v>134</v>
      </c>
      <c r="B1" s="20" t="s">
        <v>2</v>
      </c>
      <c r="C1" s="20" t="s">
        <v>24</v>
      </c>
      <c r="D1" s="20" t="s">
        <v>110</v>
      </c>
      <c r="E1" s="20" t="s">
        <v>122</v>
      </c>
      <c r="F1" s="20" t="s">
        <v>123</v>
      </c>
      <c r="G1" s="21" t="s">
        <v>101</v>
      </c>
      <c r="H1" s="20" t="s">
        <v>32</v>
      </c>
      <c r="I1" s="20" t="s">
        <v>140</v>
      </c>
      <c r="J1" s="20" t="s">
        <v>141</v>
      </c>
      <c r="K1" s="20" t="s">
        <v>211</v>
      </c>
      <c r="L1" s="27" t="s">
        <v>196</v>
      </c>
      <c r="M1" s="25" t="s">
        <v>146</v>
      </c>
      <c r="N1" s="20" t="s">
        <v>144</v>
      </c>
      <c r="O1" s="27" t="s">
        <v>150</v>
      </c>
      <c r="P1" s="20" t="s">
        <v>147</v>
      </c>
      <c r="Q1" s="20" t="s">
        <v>148</v>
      </c>
      <c r="R1" s="26" t="s">
        <v>149</v>
      </c>
      <c r="S1" s="20" t="s">
        <v>151</v>
      </c>
      <c r="T1" s="20" t="s">
        <v>5</v>
      </c>
      <c r="U1" s="20" t="s">
        <v>6</v>
      </c>
      <c r="V1" s="20" t="s">
        <v>7</v>
      </c>
      <c r="W1" s="20" t="s">
        <v>8</v>
      </c>
      <c r="X1" s="20" t="s">
        <v>10</v>
      </c>
      <c r="Y1" s="20" t="s">
        <v>56</v>
      </c>
      <c r="Z1" s="20" t="s">
        <v>59</v>
      </c>
      <c r="AA1" s="20" t="s">
        <v>11</v>
      </c>
      <c r="AB1" s="20" t="s">
        <v>12</v>
      </c>
      <c r="AC1" s="20" t="s">
        <v>13</v>
      </c>
      <c r="AD1" s="20" t="s">
        <v>40</v>
      </c>
      <c r="AE1" s="20" t="s">
        <v>153</v>
      </c>
      <c r="AF1" s="20" t="s">
        <v>154</v>
      </c>
      <c r="AG1" s="20" t="s">
        <v>155</v>
      </c>
      <c r="AH1" s="20" t="s">
        <v>156</v>
      </c>
      <c r="AI1" s="25" t="s">
        <v>157</v>
      </c>
      <c r="AJ1" s="20" t="s">
        <v>102</v>
      </c>
      <c r="AK1" s="20" t="s">
        <v>207</v>
      </c>
      <c r="AL1" s="20" t="s">
        <v>73</v>
      </c>
    </row>
    <row r="2" spans="1:38" ht="17" thickBot="1">
      <c r="A2" s="75" t="s">
        <v>371</v>
      </c>
      <c r="B2" s="32" t="s">
        <v>44</v>
      </c>
      <c r="C2" s="32" t="s">
        <v>163</v>
      </c>
      <c r="D2" s="24" t="str">
        <f>IF(TestCaseConfig!$B$3="Yes","Yes","No")</f>
        <v>Yes</v>
      </c>
      <c r="E2" s="31" t="str" cm="1">
        <f t="array" ref="E2">_xlfn.XLOOKUP($A2,DataColumnRange,_xlfn.XLOOKUP(E$1,dataRowRange,ActualDataRange))</f>
        <v>sumit.choudhary@delta.com</v>
      </c>
      <c r="F2" s="31" t="str" cm="1">
        <f t="array" ref="F2">_xlfn.XLOOKUP($A2,DataColumnRange,_xlfn.XLOOKUP(F$1,dataRowRange,ActualDataRange))</f>
        <v>Delta2</v>
      </c>
      <c r="G2" s="31" t="b" cm="1">
        <f t="array" ref="G2">_xlfn.XLOOKUP($A2,DataColumnRange,_xlfn.XLOOKUP(G$1,dataRowRange,ActualDataRange))</f>
        <v>1</v>
      </c>
      <c r="H2" s="31" t="str" cm="1">
        <f t="array" ref="H2">_xlfn.XLOOKUP($A2,DataColumnRange,_xlfn.XLOOKUP(H$1,dataRowRange,ActualDataRange))</f>
        <v>NA</v>
      </c>
      <c r="I2" s="31" t="str" cm="1">
        <f t="array" ref="I2">_xlfn.XLOOKUP($A2,DataColumnRange,_xlfn.XLOOKUP(I$1,dataRowRange,ActualDataRange))</f>
        <v>JFK</v>
      </c>
      <c r="J2" s="31" t="str" cm="1">
        <f t="array" ref="J2">_xlfn.XLOOKUP($A2,DataColumnRange,_xlfn.XLOOKUP(J$1,dataRowRange,ActualDataRange))</f>
        <v>ATL</v>
      </c>
      <c r="K2" s="31" t="str" cm="1">
        <f t="array" ref="K2">_xlfn.XLOOKUP($A2,DataColumnRange,_xlfn.XLOOKUP(K$1,dataRowRange,ActualDataRange))</f>
        <v>Medical shipment – Medevac</v>
      </c>
      <c r="L2" s="31" t="str" cm="1">
        <f t="array" ref="L2">_xlfn.XLOOKUP($A2,DataColumnRange,_xlfn.XLOOKUP(L$1,dataRowRange,ActualDataRange))</f>
        <v>Test Medical</v>
      </c>
      <c r="M2" s="31" cm="1">
        <f t="array" ref="M2">_xlfn.XLOOKUP($A2,DataColumnRange,_xlfn.XLOOKUP(M$1,dataRowRange,ActualDataRange))</f>
        <v>10</v>
      </c>
      <c r="N2" s="31" t="str" cm="1">
        <f t="array" ref="N2">_xlfn.XLOOKUP($A2,DataColumnRange,_xlfn.XLOOKUP(N$1,dataRowRange,ActualDataRange))</f>
        <v>LB</v>
      </c>
      <c r="O2" s="31" cm="1">
        <f t="array" ref="O2">_xlfn.XLOOKUP($A2,DataColumnRange,_xlfn.XLOOKUP(O$1,dataRowRange,ActualDataRange))</f>
        <v>1</v>
      </c>
      <c r="P2" s="31" cm="1">
        <f t="array" ref="P2">_xlfn.XLOOKUP($A2,DataColumnRange,_xlfn.XLOOKUP(P$1,dataRowRange,ActualDataRange))</f>
        <v>10</v>
      </c>
      <c r="Q2" s="31" cm="1">
        <f t="array" ref="Q2">_xlfn.XLOOKUP($A2,DataColumnRange,_xlfn.XLOOKUP(Q$1,dataRowRange,ActualDataRange))</f>
        <v>10</v>
      </c>
      <c r="R2" s="31" cm="1">
        <f t="array" ref="R2">_xlfn.XLOOKUP($A2,DataColumnRange,_xlfn.XLOOKUP(R$1,dataRowRange,ActualDataRange))</f>
        <v>10</v>
      </c>
      <c r="S2" s="31" t="str" cm="1">
        <f t="array" ref="S2">_xlfn.XLOOKUP($A2,DataColumnRange,_xlfn.XLOOKUP(S$1,dataRowRange,ActualDataRange))</f>
        <v>IN</v>
      </c>
      <c r="T2" s="31" t="str" cm="1">
        <f t="array" ref="T2">_xlfn.XLOOKUP($A2,DataColumnRange,_xlfn.XLOOKUP(T$1,dataRowRange,ActualDataRange))</f>
        <v>Cubic Feet</v>
      </c>
      <c r="U2" s="31" t="str" cm="1">
        <f t="array" ref="U2">_xlfn.XLOOKUP($A2,DataColumnRange,_xlfn.XLOOKUP(U$1,dataRowRange,ActualDataRange))</f>
        <v>No</v>
      </c>
      <c r="V2" s="31" t="str" cm="1">
        <f t="array" ref="V2">_xlfn.XLOOKUP($A2,DataColumnRange,_xlfn.XLOOKUP(V$1,dataRowRange,ActualDataRange))</f>
        <v>No</v>
      </c>
      <c r="W2" s="31" t="str" cm="1">
        <f t="array" ref="W2">_xlfn.XLOOKUP($A2,DataColumnRange,_xlfn.XLOOKUP(W$1,dataRowRange,ActualDataRange))</f>
        <v>No</v>
      </c>
      <c r="X2" s="31" cm="1">
        <f t="array" ref="X2">_xlfn.XLOOKUP($A2,DataColumnRange,_xlfn.XLOOKUP(X$1,dataRowRange,ActualDataRange))</f>
        <v>2</v>
      </c>
      <c r="Y2" s="31" t="str" cm="1">
        <f t="array" ref="Y2">_xlfn.XLOOKUP($A2,DataColumnRange,_xlfn.XLOOKUP(Y$1,dataRowRange,ActualDataRange))</f>
        <v>No</v>
      </c>
      <c r="Z2" s="31" t="str" cm="1">
        <f t="array" ref="Z2">_xlfn.XLOOKUP($A2,DataColumnRange,_xlfn.XLOOKUP(Z$1,dataRowRange,ActualDataRange))</f>
        <v>NA</v>
      </c>
      <c r="AA2" s="31" t="str" cm="1">
        <f t="array" ref="AA2">_xlfn.XLOOKUP($A2,DataColumnRange,_xlfn.XLOOKUP(AA$1,dataRowRange,ActualDataRange))</f>
        <v>000260018</v>
      </c>
      <c r="AB2" s="31" t="str" cm="1">
        <f t="array" ref="AB2">_xlfn.XLOOKUP($A2,DataColumnRange,_xlfn.XLOOKUP(AB$1,dataRowRange,ActualDataRange))</f>
        <v>GeneralCargoTemplate</v>
      </c>
      <c r="AC2" s="31" t="str" cm="1">
        <f t="array" ref="AC2">_xlfn.XLOOKUP($A2,DataColumnRange,_xlfn.XLOOKUP(AC$1,dataRowRange,ActualDataRange))</f>
        <v>CreditCard</v>
      </c>
      <c r="AD2" s="31" t="str" cm="1">
        <f t="array" ref="AD2">_xlfn.XLOOKUP($A2,DataColumnRange,_xlfn.XLOOKUP(AD$1,dataRowRange,ActualDataRange))</f>
        <v>NA</v>
      </c>
      <c r="AE2" s="31" t="str" cm="1">
        <f t="array" ref="AE2">_xlfn.XLOOKUP($A2,DataColumnRange,_xlfn.XLOOKUP(AE$1,dataRowRange,ActualDataRange))</f>
        <v>Test1</v>
      </c>
      <c r="AF2" s="31" t="str" cm="1">
        <f t="array" ref="AF2">_xlfn.XLOOKUP($A2,DataColumnRange,_xlfn.XLOOKUP(AF$1,dataRowRange,ActualDataRange))</f>
        <v>Test2</v>
      </c>
      <c r="AG2" s="31" t="str" cm="1">
        <f t="array" ref="AG2">_xlfn.XLOOKUP($A2,DataColumnRange,_xlfn.XLOOKUP(AG$1,dataRowRange,ActualDataRange))</f>
        <v>Atlanta</v>
      </c>
      <c r="AH2" s="31" t="str" cm="1">
        <f t="array" ref="AH2">_xlfn.XLOOKUP($A2,DataColumnRange,_xlfn.XLOOKUP(AH$1,dataRowRange,ActualDataRange))</f>
        <v>Georgia</v>
      </c>
      <c r="AI2" s="31" cm="1">
        <f t="array" ref="AI2">_xlfn.XLOOKUP($A2,DataColumnRange,_xlfn.XLOOKUP(AI$1,dataRowRange,ActualDataRange))</f>
        <v>55055</v>
      </c>
      <c r="AJ2" s="31" t="str" cm="1">
        <f t="array" ref="AJ2">_xlfn.XLOOKUP($A2,DataColumnRange,_xlfn.XLOOKUP(AJ$1,dataRowRange,ActualDataRange))</f>
        <v>000075010</v>
      </c>
      <c r="AK2" s="31" t="str" cm="1">
        <f t="array" ref="AK2">_xlfn.XLOOKUP($A2,DataColumnRange,_xlfn.XLOOKUP(AK$1,dataRowRange,ActualDataRange))</f>
        <v>Domestic</v>
      </c>
      <c r="AL2" s="31" cm="1">
        <f t="array" ref="AL2">_xlfn.XLOOKUP($A2,DataColumnRange,_xlfn.XLOOKUP(AL$1,dataRowRange,ActualDataRange))</f>
        <v>0</v>
      </c>
    </row>
    <row r="3" spans="1:38" ht="17" thickBot="1">
      <c r="A3" s="75" t="s">
        <v>372</v>
      </c>
      <c r="B3" s="32" t="s">
        <v>44</v>
      </c>
      <c r="C3" s="32" t="s">
        <v>163</v>
      </c>
      <c r="D3" s="24" t="str">
        <f>IF(TestCaseConfig!$B$3="Yes","Yes","No")</f>
        <v>Yes</v>
      </c>
      <c r="E3" s="31" t="str" cm="1">
        <f t="array" ref="E3">_xlfn.XLOOKUP($A3,DataColumnRange,_xlfn.XLOOKUP(E$1,dataRowRange,ActualDataRange))</f>
        <v>sumit.choudhary@delta.com</v>
      </c>
      <c r="F3" s="31" t="str" cm="1">
        <f t="array" ref="F3">_xlfn.XLOOKUP($A3,DataColumnRange,_xlfn.XLOOKUP(F$1,dataRowRange,ActualDataRange))</f>
        <v>Delta2</v>
      </c>
      <c r="G3" s="31" t="b" cm="1">
        <f t="array" ref="G3">_xlfn.XLOOKUP($A3,DataColumnRange,_xlfn.XLOOKUP(G$1,dataRowRange,ActualDataRange))</f>
        <v>1</v>
      </c>
      <c r="H3" s="31" t="str" cm="1">
        <f t="array" ref="H3">_xlfn.XLOOKUP($A3,DataColumnRange,_xlfn.XLOOKUP(H$1,dataRowRange,ActualDataRange))</f>
        <v>NA</v>
      </c>
      <c r="I3" s="31" t="str" cm="1">
        <f t="array" ref="I3">_xlfn.XLOOKUP($A3,DataColumnRange,_xlfn.XLOOKUP(I$1,dataRowRange,ActualDataRange))</f>
        <v>JFK</v>
      </c>
      <c r="J3" s="31" t="str" cm="1">
        <f t="array" ref="J3">_xlfn.XLOOKUP($A3,DataColumnRange,_xlfn.XLOOKUP(J$1,dataRowRange,ActualDataRange))</f>
        <v>ATL</v>
      </c>
      <c r="K3" s="31" t="str" cm="1">
        <f t="array" ref="K3">_xlfn.XLOOKUP($A3,DataColumnRange,_xlfn.XLOOKUP(K$1,dataRowRange,ActualDataRange))</f>
        <v>Medical shipment for transplant – Live Human Organ</v>
      </c>
      <c r="L3" s="31" t="str" cm="1">
        <f t="array" ref="L3">_xlfn.XLOOKUP($A3,DataColumnRange,_xlfn.XLOOKUP(L$1,dataRowRange,ActualDataRange))</f>
        <v>Test Medical</v>
      </c>
      <c r="M3" s="31" cm="1">
        <f t="array" ref="M3">_xlfn.XLOOKUP($A3,DataColumnRange,_xlfn.XLOOKUP(M$1,dataRowRange,ActualDataRange))</f>
        <v>10</v>
      </c>
      <c r="N3" s="31" t="str" cm="1">
        <f t="array" ref="N3">_xlfn.XLOOKUP($A3,DataColumnRange,_xlfn.XLOOKUP(N$1,dataRowRange,ActualDataRange))</f>
        <v>LB</v>
      </c>
      <c r="O3" s="31" cm="1">
        <f t="array" ref="O3">_xlfn.XLOOKUP($A3,DataColumnRange,_xlfn.XLOOKUP(O$1,dataRowRange,ActualDataRange))</f>
        <v>1</v>
      </c>
      <c r="P3" s="31" cm="1">
        <f t="array" ref="P3">_xlfn.XLOOKUP($A3,DataColumnRange,_xlfn.XLOOKUP(P$1,dataRowRange,ActualDataRange))</f>
        <v>10</v>
      </c>
      <c r="Q3" s="31" cm="1">
        <f t="array" ref="Q3">_xlfn.XLOOKUP($A3,DataColumnRange,_xlfn.XLOOKUP(Q$1,dataRowRange,ActualDataRange))</f>
        <v>10</v>
      </c>
      <c r="R3" s="31" cm="1">
        <f t="array" ref="R3">_xlfn.XLOOKUP($A3,DataColumnRange,_xlfn.XLOOKUP(R$1,dataRowRange,ActualDataRange))</f>
        <v>10</v>
      </c>
      <c r="S3" s="31" t="str" cm="1">
        <f t="array" ref="S3">_xlfn.XLOOKUP($A3,DataColumnRange,_xlfn.XLOOKUP(S$1,dataRowRange,ActualDataRange))</f>
        <v>IN</v>
      </c>
      <c r="T3" s="31" t="str" cm="1">
        <f t="array" ref="T3">_xlfn.XLOOKUP($A3,DataColumnRange,_xlfn.XLOOKUP(T$1,dataRowRange,ActualDataRange))</f>
        <v>Cubic Feet</v>
      </c>
      <c r="U3" s="31" t="str" cm="1">
        <f t="array" ref="U3">_xlfn.XLOOKUP($A3,DataColumnRange,_xlfn.XLOOKUP(U$1,dataRowRange,ActualDataRange))</f>
        <v>No</v>
      </c>
      <c r="V3" s="31" t="str" cm="1">
        <f t="array" ref="V3">_xlfn.XLOOKUP($A3,DataColumnRange,_xlfn.XLOOKUP(V$1,dataRowRange,ActualDataRange))</f>
        <v>No</v>
      </c>
      <c r="W3" s="31" t="str" cm="1">
        <f t="array" ref="W3">_xlfn.XLOOKUP($A3,DataColumnRange,_xlfn.XLOOKUP(W$1,dataRowRange,ActualDataRange))</f>
        <v>No</v>
      </c>
      <c r="X3" s="31" cm="1">
        <f t="array" ref="X3">_xlfn.XLOOKUP($A3,DataColumnRange,_xlfn.XLOOKUP(X$1,dataRowRange,ActualDataRange))</f>
        <v>2</v>
      </c>
      <c r="Y3" s="31" t="str" cm="1">
        <f t="array" ref="Y3">_xlfn.XLOOKUP($A3,DataColumnRange,_xlfn.XLOOKUP(Y$1,dataRowRange,ActualDataRange))</f>
        <v>No</v>
      </c>
      <c r="Z3" s="31" t="str" cm="1">
        <f t="array" ref="Z3">_xlfn.XLOOKUP($A3,DataColumnRange,_xlfn.XLOOKUP(Z$1,dataRowRange,ActualDataRange))</f>
        <v>NA</v>
      </c>
      <c r="AA3" s="31" t="str" cm="1">
        <f t="array" ref="AA3">_xlfn.XLOOKUP($A3,DataColumnRange,_xlfn.XLOOKUP(AA$1,dataRowRange,ActualDataRange))</f>
        <v>000260018</v>
      </c>
      <c r="AB3" s="31" t="str" cm="1">
        <f t="array" ref="AB3">_xlfn.XLOOKUP($A3,DataColumnRange,_xlfn.XLOOKUP(AB$1,dataRowRange,ActualDataRange))</f>
        <v>GeneralCargoTemplate</v>
      </c>
      <c r="AC3" s="31" t="str" cm="1">
        <f t="array" ref="AC3">_xlfn.XLOOKUP($A3,DataColumnRange,_xlfn.XLOOKUP(AC$1,dataRowRange,ActualDataRange))</f>
        <v>CreditCard</v>
      </c>
      <c r="AD3" s="31" t="str" cm="1">
        <f t="array" ref="AD3">_xlfn.XLOOKUP($A3,DataColumnRange,_xlfn.XLOOKUP(AD$1,dataRowRange,ActualDataRange))</f>
        <v>NA</v>
      </c>
      <c r="AE3" s="31" t="str" cm="1">
        <f t="array" ref="AE3">_xlfn.XLOOKUP($A3,DataColumnRange,_xlfn.XLOOKUP(AE$1,dataRowRange,ActualDataRange))</f>
        <v>Test1</v>
      </c>
      <c r="AF3" s="31" t="str" cm="1">
        <f t="array" ref="AF3">_xlfn.XLOOKUP($A3,DataColumnRange,_xlfn.XLOOKUP(AF$1,dataRowRange,ActualDataRange))</f>
        <v>Test2</v>
      </c>
      <c r="AG3" s="31" t="str" cm="1">
        <f t="array" ref="AG3">_xlfn.XLOOKUP($A3,DataColumnRange,_xlfn.XLOOKUP(AG$1,dataRowRange,ActualDataRange))</f>
        <v>Atlanta</v>
      </c>
      <c r="AH3" s="31" t="str" cm="1">
        <f t="array" ref="AH3">_xlfn.XLOOKUP($A3,DataColumnRange,_xlfn.XLOOKUP(AH$1,dataRowRange,ActualDataRange))</f>
        <v>Georgia</v>
      </c>
      <c r="AI3" s="31" cm="1">
        <f t="array" ref="AI3">_xlfn.XLOOKUP($A3,DataColumnRange,_xlfn.XLOOKUP(AI$1,dataRowRange,ActualDataRange))</f>
        <v>55055</v>
      </c>
      <c r="AJ3" s="31" t="str" cm="1">
        <f t="array" ref="AJ3">_xlfn.XLOOKUP($A3,DataColumnRange,_xlfn.XLOOKUP(AJ$1,dataRowRange,ActualDataRange))</f>
        <v>000075010</v>
      </c>
      <c r="AK3" s="31" t="str" cm="1">
        <f t="array" ref="AK3">_xlfn.XLOOKUP($A3,DataColumnRange,_xlfn.XLOOKUP(AK$1,dataRowRange,ActualDataRange))</f>
        <v>Domestic</v>
      </c>
      <c r="AL3" s="31" cm="1">
        <f t="array" ref="AL3">_xlfn.XLOOKUP($A3,DataColumnRange,_xlfn.XLOOKUP(AL$1,dataRowRange,ActualDataRange))</f>
        <v>0</v>
      </c>
    </row>
    <row r="4" spans="1:38" ht="17" thickBot="1">
      <c r="A4" s="75" t="s">
        <v>373</v>
      </c>
      <c r="B4" s="32" t="s">
        <v>44</v>
      </c>
      <c r="C4" s="32" t="s">
        <v>163</v>
      </c>
      <c r="D4" s="24" t="str">
        <f>IF(TestCaseConfig!$B$3="Yes","Yes","No")</f>
        <v>Yes</v>
      </c>
      <c r="E4" s="31" t="str" cm="1">
        <f t="array" ref="E4">_xlfn.XLOOKUP($A4,DataColumnRange,_xlfn.XLOOKUP(E$1,dataRowRange,ActualDataRange))</f>
        <v>sumit.choudhary@delta.com</v>
      </c>
      <c r="F4" s="31" t="str" cm="1">
        <f t="array" ref="F4">_xlfn.XLOOKUP($A4,DataColumnRange,_xlfn.XLOOKUP(F$1,dataRowRange,ActualDataRange))</f>
        <v>Delta2</v>
      </c>
      <c r="G4" s="31" t="b" cm="1">
        <f t="array" ref="G4">_xlfn.XLOOKUP($A4,DataColumnRange,_xlfn.XLOOKUP(G$1,dataRowRange,ActualDataRange))</f>
        <v>1</v>
      </c>
      <c r="H4" s="31" t="str" cm="1">
        <f t="array" ref="H4">_xlfn.XLOOKUP($A4,DataColumnRange,_xlfn.XLOOKUP(H$1,dataRowRange,ActualDataRange))</f>
        <v>NA</v>
      </c>
      <c r="I4" s="31" t="str" cm="1">
        <f t="array" ref="I4">_xlfn.XLOOKUP($A4,DataColumnRange,_xlfn.XLOOKUP(I$1,dataRowRange,ActualDataRange))</f>
        <v>JFK</v>
      </c>
      <c r="J4" s="31" t="str" cm="1">
        <f t="array" ref="J4">_xlfn.XLOOKUP($A4,DataColumnRange,_xlfn.XLOOKUP(J$1,dataRowRange,ActualDataRange))</f>
        <v>ATL</v>
      </c>
      <c r="K4" s="31" t="str" cm="1">
        <f t="array" ref="K4">_xlfn.XLOOKUP($A4,DataColumnRange,_xlfn.XLOOKUP(K$1,dataRowRange,ActualDataRange))</f>
        <v>Life-saving drugs and medication or cord-blood</v>
      </c>
      <c r="L4" s="31" t="str" cm="1">
        <f t="array" ref="L4">_xlfn.XLOOKUP($A4,DataColumnRange,_xlfn.XLOOKUP(L$1,dataRowRange,ActualDataRange))</f>
        <v>Test Medical</v>
      </c>
      <c r="M4" s="31" cm="1">
        <f t="array" ref="M4">_xlfn.XLOOKUP($A4,DataColumnRange,_xlfn.XLOOKUP(M$1,dataRowRange,ActualDataRange))</f>
        <v>10</v>
      </c>
      <c r="N4" s="31" t="str" cm="1">
        <f t="array" ref="N4">_xlfn.XLOOKUP($A4,DataColumnRange,_xlfn.XLOOKUP(N$1,dataRowRange,ActualDataRange))</f>
        <v>LB</v>
      </c>
      <c r="O4" s="31" cm="1">
        <f t="array" ref="O4">_xlfn.XLOOKUP($A4,DataColumnRange,_xlfn.XLOOKUP(O$1,dataRowRange,ActualDataRange))</f>
        <v>1</v>
      </c>
      <c r="P4" s="31" cm="1">
        <f t="array" ref="P4">_xlfn.XLOOKUP($A4,DataColumnRange,_xlfn.XLOOKUP(P$1,dataRowRange,ActualDataRange))</f>
        <v>10</v>
      </c>
      <c r="Q4" s="31" cm="1">
        <f t="array" ref="Q4">_xlfn.XLOOKUP($A4,DataColumnRange,_xlfn.XLOOKUP(Q$1,dataRowRange,ActualDataRange))</f>
        <v>10</v>
      </c>
      <c r="R4" s="31" cm="1">
        <f t="array" ref="R4">_xlfn.XLOOKUP($A4,DataColumnRange,_xlfn.XLOOKUP(R$1,dataRowRange,ActualDataRange))</f>
        <v>10</v>
      </c>
      <c r="S4" s="31" t="str" cm="1">
        <f t="array" ref="S4">_xlfn.XLOOKUP($A4,DataColumnRange,_xlfn.XLOOKUP(S$1,dataRowRange,ActualDataRange))</f>
        <v>IN</v>
      </c>
      <c r="T4" s="31" t="str" cm="1">
        <f t="array" ref="T4">_xlfn.XLOOKUP($A4,DataColumnRange,_xlfn.XLOOKUP(T$1,dataRowRange,ActualDataRange))</f>
        <v>Cubic Feet</v>
      </c>
      <c r="U4" s="31" t="str" cm="1">
        <f t="array" ref="U4">_xlfn.XLOOKUP($A4,DataColumnRange,_xlfn.XLOOKUP(U$1,dataRowRange,ActualDataRange))</f>
        <v>No</v>
      </c>
      <c r="V4" s="31" t="str" cm="1">
        <f t="array" ref="V4">_xlfn.XLOOKUP($A4,DataColumnRange,_xlfn.XLOOKUP(V$1,dataRowRange,ActualDataRange))</f>
        <v>No</v>
      </c>
      <c r="W4" s="31" t="str" cm="1">
        <f t="array" ref="W4">_xlfn.XLOOKUP($A4,DataColumnRange,_xlfn.XLOOKUP(W$1,dataRowRange,ActualDataRange))</f>
        <v>No</v>
      </c>
      <c r="X4" s="31" cm="1">
        <f t="array" ref="X4">_xlfn.XLOOKUP($A4,DataColumnRange,_xlfn.XLOOKUP(X$1,dataRowRange,ActualDataRange))</f>
        <v>2</v>
      </c>
      <c r="Y4" s="31" t="str" cm="1">
        <f t="array" ref="Y4">_xlfn.XLOOKUP($A4,DataColumnRange,_xlfn.XLOOKUP(Y$1,dataRowRange,ActualDataRange))</f>
        <v>No</v>
      </c>
      <c r="Z4" s="31" t="str" cm="1">
        <f t="array" ref="Z4">_xlfn.XLOOKUP($A4,DataColumnRange,_xlfn.XLOOKUP(Z$1,dataRowRange,ActualDataRange))</f>
        <v>NA</v>
      </c>
      <c r="AA4" s="31" t="str" cm="1">
        <f t="array" ref="AA4">_xlfn.XLOOKUP($A4,DataColumnRange,_xlfn.XLOOKUP(AA$1,dataRowRange,ActualDataRange))</f>
        <v>000260018</v>
      </c>
      <c r="AB4" s="31" t="str" cm="1">
        <f t="array" ref="AB4">_xlfn.XLOOKUP($A4,DataColumnRange,_xlfn.XLOOKUP(AB$1,dataRowRange,ActualDataRange))</f>
        <v>GeneralCargoTemplate</v>
      </c>
      <c r="AC4" s="31" t="str" cm="1">
        <f t="array" ref="AC4">_xlfn.XLOOKUP($A4,DataColumnRange,_xlfn.XLOOKUP(AC$1,dataRowRange,ActualDataRange))</f>
        <v>CreditCard</v>
      </c>
      <c r="AD4" s="31" t="str" cm="1">
        <f t="array" ref="AD4">_xlfn.XLOOKUP($A4,DataColumnRange,_xlfn.XLOOKUP(AD$1,dataRowRange,ActualDataRange))</f>
        <v>NA</v>
      </c>
      <c r="AE4" s="31" t="str" cm="1">
        <f t="array" ref="AE4">_xlfn.XLOOKUP($A4,DataColumnRange,_xlfn.XLOOKUP(AE$1,dataRowRange,ActualDataRange))</f>
        <v>Test1</v>
      </c>
      <c r="AF4" s="31" t="str" cm="1">
        <f t="array" ref="AF4">_xlfn.XLOOKUP($A4,DataColumnRange,_xlfn.XLOOKUP(AF$1,dataRowRange,ActualDataRange))</f>
        <v>Test2</v>
      </c>
      <c r="AG4" s="31" t="str" cm="1">
        <f t="array" ref="AG4">_xlfn.XLOOKUP($A4,DataColumnRange,_xlfn.XLOOKUP(AG$1,dataRowRange,ActualDataRange))</f>
        <v>Atlanta</v>
      </c>
      <c r="AH4" s="31" t="str" cm="1">
        <f t="array" ref="AH4">_xlfn.XLOOKUP($A4,DataColumnRange,_xlfn.XLOOKUP(AH$1,dataRowRange,ActualDataRange))</f>
        <v>Georgia</v>
      </c>
      <c r="AI4" s="31" cm="1">
        <f t="array" ref="AI4">_xlfn.XLOOKUP($A4,DataColumnRange,_xlfn.XLOOKUP(AI$1,dataRowRange,ActualDataRange))</f>
        <v>55055</v>
      </c>
      <c r="AJ4" s="31" t="str" cm="1">
        <f t="array" ref="AJ4">_xlfn.XLOOKUP($A4,DataColumnRange,_xlfn.XLOOKUP(AJ$1,dataRowRange,ActualDataRange))</f>
        <v>000075010</v>
      </c>
      <c r="AK4" s="31" t="str" cm="1">
        <f t="array" ref="AK4">_xlfn.XLOOKUP($A4,DataColumnRange,_xlfn.XLOOKUP(AK$1,dataRowRange,ActualDataRange))</f>
        <v>Domestic</v>
      </c>
      <c r="AL4" s="31" cm="1">
        <f t="array" ref="AL4">_xlfn.XLOOKUP($A4,DataColumnRange,_xlfn.XLOOKUP(AL$1,dataRowRange,ActualDataRange))</f>
        <v>0</v>
      </c>
    </row>
    <row r="5" spans="1:38" ht="17" thickBot="1">
      <c r="A5" s="75" t="s">
        <v>374</v>
      </c>
      <c r="B5" s="32" t="s">
        <v>44</v>
      </c>
      <c r="C5" s="32" t="s">
        <v>163</v>
      </c>
      <c r="D5" s="24" t="str">
        <f>IF(TestCaseConfig!$B$3="Yes","Yes","No")</f>
        <v>Yes</v>
      </c>
      <c r="E5" s="31" t="str" cm="1">
        <f t="array" ref="E5">_xlfn.XLOOKUP($A5,DataColumnRange,_xlfn.XLOOKUP(E$1,dataRowRange,ActualDataRange))</f>
        <v>sumit.choudhary@delta.com</v>
      </c>
      <c r="F5" s="31" t="str" cm="1">
        <f t="array" ref="F5">_xlfn.XLOOKUP($A5,DataColumnRange,_xlfn.XLOOKUP(F$1,dataRowRange,ActualDataRange))</f>
        <v>Delta2</v>
      </c>
      <c r="G5" s="31" t="b" cm="1">
        <f t="array" ref="G5">_xlfn.XLOOKUP($A5,DataColumnRange,_xlfn.XLOOKUP(G$1,dataRowRange,ActualDataRange))</f>
        <v>1</v>
      </c>
      <c r="H5" s="31" t="str" cm="1">
        <f t="array" ref="H5">_xlfn.XLOOKUP($A5,DataColumnRange,_xlfn.XLOOKUP(H$1,dataRowRange,ActualDataRange))</f>
        <v>NA</v>
      </c>
      <c r="I5" s="31" t="str" cm="1">
        <f t="array" ref="I5">_xlfn.XLOOKUP($A5,DataColumnRange,_xlfn.XLOOKUP(I$1,dataRowRange,ActualDataRange))</f>
        <v>JFK</v>
      </c>
      <c r="J5" s="31" t="str" cm="1">
        <f t="array" ref="J5">_xlfn.XLOOKUP($A5,DataColumnRange,_xlfn.XLOOKUP(J$1,dataRowRange,ActualDataRange))</f>
        <v>ATL</v>
      </c>
      <c r="K5" s="31" t="str" cm="1">
        <f t="array" ref="K5">_xlfn.XLOOKUP($A5,DataColumnRange,_xlfn.XLOOKUP(K$1,dataRowRange,ActualDataRange))</f>
        <v>Medical shipment for transplant – Other</v>
      </c>
      <c r="L5" s="31" t="str" cm="1">
        <f t="array" ref="L5">_xlfn.XLOOKUP($A5,DataColumnRange,_xlfn.XLOOKUP(L$1,dataRowRange,ActualDataRange))</f>
        <v>Test Medical</v>
      </c>
      <c r="M5" s="31" cm="1">
        <f t="array" ref="M5">_xlfn.XLOOKUP($A5,DataColumnRange,_xlfn.XLOOKUP(M$1,dataRowRange,ActualDataRange))</f>
        <v>10</v>
      </c>
      <c r="N5" s="31" t="str" cm="1">
        <f t="array" ref="N5">_xlfn.XLOOKUP($A5,DataColumnRange,_xlfn.XLOOKUP(N$1,dataRowRange,ActualDataRange))</f>
        <v>LB</v>
      </c>
      <c r="O5" s="31" cm="1">
        <f t="array" ref="O5">_xlfn.XLOOKUP($A5,DataColumnRange,_xlfn.XLOOKUP(O$1,dataRowRange,ActualDataRange))</f>
        <v>1</v>
      </c>
      <c r="P5" s="31" cm="1">
        <f t="array" ref="P5">_xlfn.XLOOKUP($A5,DataColumnRange,_xlfn.XLOOKUP(P$1,dataRowRange,ActualDataRange))</f>
        <v>10</v>
      </c>
      <c r="Q5" s="31" cm="1">
        <f t="array" ref="Q5">_xlfn.XLOOKUP($A5,DataColumnRange,_xlfn.XLOOKUP(Q$1,dataRowRange,ActualDataRange))</f>
        <v>10</v>
      </c>
      <c r="R5" s="31" cm="1">
        <f t="array" ref="R5">_xlfn.XLOOKUP($A5,DataColumnRange,_xlfn.XLOOKUP(R$1,dataRowRange,ActualDataRange))</f>
        <v>10</v>
      </c>
      <c r="S5" s="31" t="str" cm="1">
        <f t="array" ref="S5">_xlfn.XLOOKUP($A5,DataColumnRange,_xlfn.XLOOKUP(S$1,dataRowRange,ActualDataRange))</f>
        <v>IN</v>
      </c>
      <c r="T5" s="31" t="str" cm="1">
        <f t="array" ref="T5">_xlfn.XLOOKUP($A5,DataColumnRange,_xlfn.XLOOKUP(T$1,dataRowRange,ActualDataRange))</f>
        <v>Cubic Feet</v>
      </c>
      <c r="U5" s="31" t="str" cm="1">
        <f t="array" ref="U5">_xlfn.XLOOKUP($A5,DataColumnRange,_xlfn.XLOOKUP(U$1,dataRowRange,ActualDataRange))</f>
        <v>No</v>
      </c>
      <c r="V5" s="31" t="str" cm="1">
        <f t="array" ref="V5">_xlfn.XLOOKUP($A5,DataColumnRange,_xlfn.XLOOKUP(V$1,dataRowRange,ActualDataRange))</f>
        <v>No</v>
      </c>
      <c r="W5" s="31" t="str" cm="1">
        <f t="array" ref="W5">_xlfn.XLOOKUP($A5,DataColumnRange,_xlfn.XLOOKUP(W$1,dataRowRange,ActualDataRange))</f>
        <v>No</v>
      </c>
      <c r="X5" s="31" cm="1">
        <f t="array" ref="X5">_xlfn.XLOOKUP($A5,DataColumnRange,_xlfn.XLOOKUP(X$1,dataRowRange,ActualDataRange))</f>
        <v>2</v>
      </c>
      <c r="Y5" s="31" t="str" cm="1">
        <f t="array" ref="Y5">_xlfn.XLOOKUP($A5,DataColumnRange,_xlfn.XLOOKUP(Y$1,dataRowRange,ActualDataRange))</f>
        <v>No</v>
      </c>
      <c r="Z5" s="31" t="str" cm="1">
        <f t="array" ref="Z5">_xlfn.XLOOKUP($A5,DataColumnRange,_xlfn.XLOOKUP(Z$1,dataRowRange,ActualDataRange))</f>
        <v>NA</v>
      </c>
      <c r="AA5" s="31" t="str" cm="1">
        <f t="array" ref="AA5">_xlfn.XLOOKUP($A5,DataColumnRange,_xlfn.XLOOKUP(AA$1,dataRowRange,ActualDataRange))</f>
        <v>000260018</v>
      </c>
      <c r="AB5" s="31" t="str" cm="1">
        <f t="array" ref="AB5">_xlfn.XLOOKUP($A5,DataColumnRange,_xlfn.XLOOKUP(AB$1,dataRowRange,ActualDataRange))</f>
        <v>GeneralCargoTemplate</v>
      </c>
      <c r="AC5" s="31" t="str" cm="1">
        <f t="array" ref="AC5">_xlfn.XLOOKUP($A5,DataColumnRange,_xlfn.XLOOKUP(AC$1,dataRowRange,ActualDataRange))</f>
        <v>CreditCard</v>
      </c>
      <c r="AD5" s="31" t="str" cm="1">
        <f t="array" ref="AD5">_xlfn.XLOOKUP($A5,DataColumnRange,_xlfn.XLOOKUP(AD$1,dataRowRange,ActualDataRange))</f>
        <v>NA</v>
      </c>
      <c r="AE5" s="31" t="str" cm="1">
        <f t="array" ref="AE5">_xlfn.XLOOKUP($A5,DataColumnRange,_xlfn.XLOOKUP(AE$1,dataRowRange,ActualDataRange))</f>
        <v>Test1</v>
      </c>
      <c r="AF5" s="31" t="str" cm="1">
        <f t="array" ref="AF5">_xlfn.XLOOKUP($A5,DataColumnRange,_xlfn.XLOOKUP(AF$1,dataRowRange,ActualDataRange))</f>
        <v>Test2</v>
      </c>
      <c r="AG5" s="31" t="str" cm="1">
        <f t="array" ref="AG5">_xlfn.XLOOKUP($A5,DataColumnRange,_xlfn.XLOOKUP(AG$1,dataRowRange,ActualDataRange))</f>
        <v>Atlanta</v>
      </c>
      <c r="AH5" s="31" t="str" cm="1">
        <f t="array" ref="AH5">_xlfn.XLOOKUP($A5,DataColumnRange,_xlfn.XLOOKUP(AH$1,dataRowRange,ActualDataRange))</f>
        <v>Georgia</v>
      </c>
      <c r="AI5" s="31" cm="1">
        <f t="array" ref="AI5">_xlfn.XLOOKUP($A5,DataColumnRange,_xlfn.XLOOKUP(AI$1,dataRowRange,ActualDataRange))</f>
        <v>55055</v>
      </c>
      <c r="AJ5" s="31" t="str" cm="1">
        <f t="array" ref="AJ5">_xlfn.XLOOKUP($A5,DataColumnRange,_xlfn.XLOOKUP(AJ$1,dataRowRange,ActualDataRange))</f>
        <v>000075010</v>
      </c>
      <c r="AK5" s="31" t="str" cm="1">
        <f t="array" ref="AK5">_xlfn.XLOOKUP($A5,DataColumnRange,_xlfn.XLOOKUP(AK$1,dataRowRange,ActualDataRange))</f>
        <v>Domestic</v>
      </c>
      <c r="AL5" s="31" cm="1">
        <f t="array" ref="AL5">_xlfn.XLOOKUP($A5,DataColumnRange,_xlfn.XLOOKUP(AL$1,dataRowRange,ActualDataRange))</f>
        <v>0</v>
      </c>
    </row>
    <row r="6" spans="1:38" ht="17" thickBot="1">
      <c r="A6" s="75" t="s">
        <v>375</v>
      </c>
      <c r="B6" s="32" t="s">
        <v>44</v>
      </c>
      <c r="C6" s="32" t="s">
        <v>163</v>
      </c>
      <c r="D6" s="24" t="str">
        <f>IF(TestCaseConfig!$B$3="Yes","Yes","No")</f>
        <v>Yes</v>
      </c>
      <c r="E6" s="31" t="str" cm="1">
        <f t="array" ref="E6">_xlfn.XLOOKUP($A6,DataColumnRange,_xlfn.XLOOKUP(E$1,dataRowRange,ActualDataRange))</f>
        <v>sumit.choudhary@delta.com</v>
      </c>
      <c r="F6" s="31" t="str" cm="1">
        <f t="array" ref="F6">_xlfn.XLOOKUP($A6,DataColumnRange,_xlfn.XLOOKUP(F$1,dataRowRange,ActualDataRange))</f>
        <v>Delta2</v>
      </c>
      <c r="G6" s="31" t="b" cm="1">
        <f t="array" ref="G6">_xlfn.XLOOKUP($A6,DataColumnRange,_xlfn.XLOOKUP(G$1,dataRowRange,ActualDataRange))</f>
        <v>1</v>
      </c>
      <c r="H6" s="31" t="str" cm="1">
        <f t="array" ref="H6">_xlfn.XLOOKUP($A6,DataColumnRange,_xlfn.XLOOKUP(H$1,dataRowRange,ActualDataRange))</f>
        <v>NA</v>
      </c>
      <c r="I6" s="31" t="str" cm="1">
        <f t="array" ref="I6">_xlfn.XLOOKUP($A6,DataColumnRange,_xlfn.XLOOKUP(I$1,dataRowRange,ActualDataRange))</f>
        <v>JFK</v>
      </c>
      <c r="J6" s="31" t="str" cm="1">
        <f t="array" ref="J6">_xlfn.XLOOKUP($A6,DataColumnRange,_xlfn.XLOOKUP(J$1,dataRowRange,ActualDataRange))</f>
        <v>ATL</v>
      </c>
      <c r="K6" s="31" t="str" cm="1">
        <f t="array" ref="K6">_xlfn.XLOOKUP($A6,DataColumnRange,_xlfn.XLOOKUP(K$1,dataRowRange,ActualDataRange))</f>
        <v>Medical shipment not for transplant - Diagnostic Specimen</v>
      </c>
      <c r="L6" s="31" t="str" cm="1">
        <f t="array" ref="L6">_xlfn.XLOOKUP($A6,DataColumnRange,_xlfn.XLOOKUP(L$1,dataRowRange,ActualDataRange))</f>
        <v>Test Medical</v>
      </c>
      <c r="M6" s="31" cm="1">
        <f t="array" ref="M6">_xlfn.XLOOKUP($A6,DataColumnRange,_xlfn.XLOOKUP(M$1,dataRowRange,ActualDataRange))</f>
        <v>10</v>
      </c>
      <c r="N6" s="31" t="str" cm="1">
        <f t="array" ref="N6">_xlfn.XLOOKUP($A6,DataColumnRange,_xlfn.XLOOKUP(N$1,dataRowRange,ActualDataRange))</f>
        <v>LB</v>
      </c>
      <c r="O6" s="31" cm="1">
        <f t="array" ref="O6">_xlfn.XLOOKUP($A6,DataColumnRange,_xlfn.XLOOKUP(O$1,dataRowRange,ActualDataRange))</f>
        <v>1</v>
      </c>
      <c r="P6" s="31" cm="1">
        <f t="array" ref="P6">_xlfn.XLOOKUP($A6,DataColumnRange,_xlfn.XLOOKUP(P$1,dataRowRange,ActualDataRange))</f>
        <v>10</v>
      </c>
      <c r="Q6" s="31" cm="1">
        <f t="array" ref="Q6">_xlfn.XLOOKUP($A6,DataColumnRange,_xlfn.XLOOKUP(Q$1,dataRowRange,ActualDataRange))</f>
        <v>10</v>
      </c>
      <c r="R6" s="31" cm="1">
        <f t="array" ref="R6">_xlfn.XLOOKUP($A6,DataColumnRange,_xlfn.XLOOKUP(R$1,dataRowRange,ActualDataRange))</f>
        <v>10</v>
      </c>
      <c r="S6" s="31" t="str" cm="1">
        <f t="array" ref="S6">_xlfn.XLOOKUP($A6,DataColumnRange,_xlfn.XLOOKUP(S$1,dataRowRange,ActualDataRange))</f>
        <v>IN</v>
      </c>
      <c r="T6" s="31" t="str" cm="1">
        <f t="array" ref="T6">_xlfn.XLOOKUP($A6,DataColumnRange,_xlfn.XLOOKUP(T$1,dataRowRange,ActualDataRange))</f>
        <v>Cubic Feet</v>
      </c>
      <c r="U6" s="31" t="str" cm="1">
        <f t="array" ref="U6">_xlfn.XLOOKUP($A6,DataColumnRange,_xlfn.XLOOKUP(U$1,dataRowRange,ActualDataRange))</f>
        <v>No</v>
      </c>
      <c r="V6" s="31" t="str" cm="1">
        <f t="array" ref="V6">_xlfn.XLOOKUP($A6,DataColumnRange,_xlfn.XLOOKUP(V$1,dataRowRange,ActualDataRange))</f>
        <v>No</v>
      </c>
      <c r="W6" s="31" t="str" cm="1">
        <f t="array" ref="W6">_xlfn.XLOOKUP($A6,DataColumnRange,_xlfn.XLOOKUP(W$1,dataRowRange,ActualDataRange))</f>
        <v>No</v>
      </c>
      <c r="X6" s="31" cm="1">
        <f t="array" ref="X6">_xlfn.XLOOKUP($A6,DataColumnRange,_xlfn.XLOOKUP(X$1,dataRowRange,ActualDataRange))</f>
        <v>2</v>
      </c>
      <c r="Y6" s="31" t="str" cm="1">
        <f t="array" ref="Y6">_xlfn.XLOOKUP($A6,DataColumnRange,_xlfn.XLOOKUP(Y$1,dataRowRange,ActualDataRange))</f>
        <v>No</v>
      </c>
      <c r="Z6" s="31" t="str" cm="1">
        <f t="array" ref="Z6">_xlfn.XLOOKUP($A6,DataColumnRange,_xlfn.XLOOKUP(Z$1,dataRowRange,ActualDataRange))</f>
        <v>NA</v>
      </c>
      <c r="AA6" s="31" t="str" cm="1">
        <f t="array" ref="AA6">_xlfn.XLOOKUP($A6,DataColumnRange,_xlfn.XLOOKUP(AA$1,dataRowRange,ActualDataRange))</f>
        <v>000260018</v>
      </c>
      <c r="AB6" s="31" t="str" cm="1">
        <f t="array" ref="AB6">_xlfn.XLOOKUP($A6,DataColumnRange,_xlfn.XLOOKUP(AB$1,dataRowRange,ActualDataRange))</f>
        <v>GeneralCargoTemplate</v>
      </c>
      <c r="AC6" s="31" t="str" cm="1">
        <f t="array" ref="AC6">_xlfn.XLOOKUP($A6,DataColumnRange,_xlfn.XLOOKUP(AC$1,dataRowRange,ActualDataRange))</f>
        <v>CreditCard</v>
      </c>
      <c r="AD6" s="31" t="str" cm="1">
        <f t="array" ref="AD6">_xlfn.XLOOKUP($A6,DataColumnRange,_xlfn.XLOOKUP(AD$1,dataRowRange,ActualDataRange))</f>
        <v>NA</v>
      </c>
      <c r="AE6" s="31" t="str" cm="1">
        <f t="array" ref="AE6">_xlfn.XLOOKUP($A6,DataColumnRange,_xlfn.XLOOKUP(AE$1,dataRowRange,ActualDataRange))</f>
        <v>Test1</v>
      </c>
      <c r="AF6" s="31" t="str" cm="1">
        <f t="array" ref="AF6">_xlfn.XLOOKUP($A6,DataColumnRange,_xlfn.XLOOKUP(AF$1,dataRowRange,ActualDataRange))</f>
        <v>Test2</v>
      </c>
      <c r="AG6" s="31" t="str" cm="1">
        <f t="array" ref="AG6">_xlfn.XLOOKUP($A6,DataColumnRange,_xlfn.XLOOKUP(AG$1,dataRowRange,ActualDataRange))</f>
        <v>Atlanta</v>
      </c>
      <c r="AH6" s="31" t="str" cm="1">
        <f t="array" ref="AH6">_xlfn.XLOOKUP($A6,DataColumnRange,_xlfn.XLOOKUP(AH$1,dataRowRange,ActualDataRange))</f>
        <v>Georgia</v>
      </c>
      <c r="AI6" s="31" cm="1">
        <f t="array" ref="AI6">_xlfn.XLOOKUP($A6,DataColumnRange,_xlfn.XLOOKUP(AI$1,dataRowRange,ActualDataRange))</f>
        <v>55055</v>
      </c>
      <c r="AJ6" s="31" t="str" cm="1">
        <f t="array" ref="AJ6">_xlfn.XLOOKUP($A6,DataColumnRange,_xlfn.XLOOKUP(AJ$1,dataRowRange,ActualDataRange))</f>
        <v>000075010</v>
      </c>
      <c r="AK6" s="31" t="str" cm="1">
        <f t="array" ref="AK6">_xlfn.XLOOKUP($A6,DataColumnRange,_xlfn.XLOOKUP(AK$1,dataRowRange,ActualDataRange))</f>
        <v>Domestic</v>
      </c>
      <c r="AL6" s="31" cm="1">
        <f t="array" ref="AL6">_xlfn.XLOOKUP($A6,DataColumnRange,_xlfn.XLOOKUP(AL$1,dataRowRange,ActualDataRange))</f>
        <v>0</v>
      </c>
    </row>
    <row r="7" spans="1:38" ht="17" thickBot="1">
      <c r="A7" s="75" t="s">
        <v>376</v>
      </c>
      <c r="B7" s="32" t="s">
        <v>44</v>
      </c>
      <c r="C7" s="32" t="s">
        <v>163</v>
      </c>
      <c r="D7" s="24" t="str">
        <f>IF(TestCaseConfig!$B$3="Yes","Yes","No")</f>
        <v>Yes</v>
      </c>
      <c r="E7" s="31" t="str" cm="1">
        <f t="array" ref="E7">_xlfn.XLOOKUP($A7,DataColumnRange,_xlfn.XLOOKUP(E$1,dataRowRange,ActualDataRange))</f>
        <v>sumit.choudhary@delta.com</v>
      </c>
      <c r="F7" s="31" t="str" cm="1">
        <f t="array" ref="F7">_xlfn.XLOOKUP($A7,DataColumnRange,_xlfn.XLOOKUP(F$1,dataRowRange,ActualDataRange))</f>
        <v>Delta2</v>
      </c>
      <c r="G7" s="31" t="b" cm="1">
        <f t="array" ref="G7">_xlfn.XLOOKUP($A7,DataColumnRange,_xlfn.XLOOKUP(G$1,dataRowRange,ActualDataRange))</f>
        <v>1</v>
      </c>
      <c r="H7" s="31" t="str" cm="1">
        <f t="array" ref="H7">_xlfn.XLOOKUP($A7,DataColumnRange,_xlfn.XLOOKUP(H$1,dataRowRange,ActualDataRange))</f>
        <v>NA</v>
      </c>
      <c r="I7" s="31" t="str" cm="1">
        <f t="array" ref="I7">_xlfn.XLOOKUP($A7,DataColumnRange,_xlfn.XLOOKUP(I$1,dataRowRange,ActualDataRange))</f>
        <v>JFK</v>
      </c>
      <c r="J7" s="31" t="str" cm="1">
        <f t="array" ref="J7">_xlfn.XLOOKUP($A7,DataColumnRange,_xlfn.XLOOKUP(J$1,dataRowRange,ActualDataRange))</f>
        <v>ATL</v>
      </c>
      <c r="K7" s="31" t="str" cm="1">
        <f t="array" ref="K7">_xlfn.XLOOKUP($A7,DataColumnRange,_xlfn.XLOOKUP(K$1,dataRowRange,ActualDataRange))</f>
        <v>Medical shipment not for transplant - Other</v>
      </c>
      <c r="L7" s="31" t="str" cm="1">
        <f t="array" ref="L7">_xlfn.XLOOKUP($A7,DataColumnRange,_xlfn.XLOOKUP(L$1,dataRowRange,ActualDataRange))</f>
        <v>Test Medical</v>
      </c>
      <c r="M7" s="31" cm="1">
        <f t="array" ref="M7">_xlfn.XLOOKUP($A7,DataColumnRange,_xlfn.XLOOKUP(M$1,dataRowRange,ActualDataRange))</f>
        <v>10</v>
      </c>
      <c r="N7" s="31" t="str" cm="1">
        <f t="array" ref="N7">_xlfn.XLOOKUP($A7,DataColumnRange,_xlfn.XLOOKUP(N$1,dataRowRange,ActualDataRange))</f>
        <v>LB</v>
      </c>
      <c r="O7" s="31" cm="1">
        <f t="array" ref="O7">_xlfn.XLOOKUP($A7,DataColumnRange,_xlfn.XLOOKUP(O$1,dataRowRange,ActualDataRange))</f>
        <v>1</v>
      </c>
      <c r="P7" s="31" cm="1">
        <f t="array" ref="P7">_xlfn.XLOOKUP($A7,DataColumnRange,_xlfn.XLOOKUP(P$1,dataRowRange,ActualDataRange))</f>
        <v>10</v>
      </c>
      <c r="Q7" s="31" cm="1">
        <f t="array" ref="Q7">_xlfn.XLOOKUP($A7,DataColumnRange,_xlfn.XLOOKUP(Q$1,dataRowRange,ActualDataRange))</f>
        <v>10</v>
      </c>
      <c r="R7" s="31" cm="1">
        <f t="array" ref="R7">_xlfn.XLOOKUP($A7,DataColumnRange,_xlfn.XLOOKUP(R$1,dataRowRange,ActualDataRange))</f>
        <v>10</v>
      </c>
      <c r="S7" s="31" t="str" cm="1">
        <f t="array" ref="S7">_xlfn.XLOOKUP($A7,DataColumnRange,_xlfn.XLOOKUP(S$1,dataRowRange,ActualDataRange))</f>
        <v>IN</v>
      </c>
      <c r="T7" s="31" t="str" cm="1">
        <f t="array" ref="T7">_xlfn.XLOOKUP($A7,DataColumnRange,_xlfn.XLOOKUP(T$1,dataRowRange,ActualDataRange))</f>
        <v>Cubic Feet</v>
      </c>
      <c r="U7" s="31" t="str" cm="1">
        <f t="array" ref="U7">_xlfn.XLOOKUP($A7,DataColumnRange,_xlfn.XLOOKUP(U$1,dataRowRange,ActualDataRange))</f>
        <v>No</v>
      </c>
      <c r="V7" s="31" t="str" cm="1">
        <f t="array" ref="V7">_xlfn.XLOOKUP($A7,DataColumnRange,_xlfn.XLOOKUP(V$1,dataRowRange,ActualDataRange))</f>
        <v>No</v>
      </c>
      <c r="W7" s="31" t="str" cm="1">
        <f t="array" ref="W7">_xlfn.XLOOKUP($A7,DataColumnRange,_xlfn.XLOOKUP(W$1,dataRowRange,ActualDataRange))</f>
        <v>No</v>
      </c>
      <c r="X7" s="31" cm="1">
        <f t="array" ref="X7">_xlfn.XLOOKUP($A7,DataColumnRange,_xlfn.XLOOKUP(X$1,dataRowRange,ActualDataRange))</f>
        <v>2</v>
      </c>
      <c r="Y7" s="31" t="str" cm="1">
        <f t="array" ref="Y7">_xlfn.XLOOKUP($A7,DataColumnRange,_xlfn.XLOOKUP(Y$1,dataRowRange,ActualDataRange))</f>
        <v>No</v>
      </c>
      <c r="Z7" s="31" t="str" cm="1">
        <f t="array" ref="Z7">_xlfn.XLOOKUP($A7,DataColumnRange,_xlfn.XLOOKUP(Z$1,dataRowRange,ActualDataRange))</f>
        <v>NA</v>
      </c>
      <c r="AA7" s="31" t="str" cm="1">
        <f t="array" ref="AA7">_xlfn.XLOOKUP($A7,DataColumnRange,_xlfn.XLOOKUP(AA$1,dataRowRange,ActualDataRange))</f>
        <v>000260018</v>
      </c>
      <c r="AB7" s="31" t="str" cm="1">
        <f t="array" ref="AB7">_xlfn.XLOOKUP($A7,DataColumnRange,_xlfn.XLOOKUP(AB$1,dataRowRange,ActualDataRange))</f>
        <v>GeneralCargoTemplate</v>
      </c>
      <c r="AC7" s="31" t="str" cm="1">
        <f t="array" ref="AC7">_xlfn.XLOOKUP($A7,DataColumnRange,_xlfn.XLOOKUP(AC$1,dataRowRange,ActualDataRange))</f>
        <v>CreditCard</v>
      </c>
      <c r="AD7" s="31" t="str" cm="1">
        <f t="array" ref="AD7">_xlfn.XLOOKUP($A7,DataColumnRange,_xlfn.XLOOKUP(AD$1,dataRowRange,ActualDataRange))</f>
        <v>NA</v>
      </c>
      <c r="AE7" s="31" t="str" cm="1">
        <f t="array" ref="AE7">_xlfn.XLOOKUP($A7,DataColumnRange,_xlfn.XLOOKUP(AE$1,dataRowRange,ActualDataRange))</f>
        <v>Test1</v>
      </c>
      <c r="AF7" s="31" t="str" cm="1">
        <f t="array" ref="AF7">_xlfn.XLOOKUP($A7,DataColumnRange,_xlfn.XLOOKUP(AF$1,dataRowRange,ActualDataRange))</f>
        <v>Test2</v>
      </c>
      <c r="AG7" s="31" t="str" cm="1">
        <f t="array" ref="AG7">_xlfn.XLOOKUP($A7,DataColumnRange,_xlfn.XLOOKUP(AG$1,dataRowRange,ActualDataRange))</f>
        <v>Atlanta</v>
      </c>
      <c r="AH7" s="31" t="str" cm="1">
        <f t="array" ref="AH7">_xlfn.XLOOKUP($A7,DataColumnRange,_xlfn.XLOOKUP(AH$1,dataRowRange,ActualDataRange))</f>
        <v>Georgia</v>
      </c>
      <c r="AI7" s="31" cm="1">
        <f t="array" ref="AI7">_xlfn.XLOOKUP($A7,DataColumnRange,_xlfn.XLOOKUP(AI$1,dataRowRange,ActualDataRange))</f>
        <v>55055</v>
      </c>
      <c r="AJ7" s="31" t="str" cm="1">
        <f t="array" ref="AJ7">_xlfn.XLOOKUP($A7,DataColumnRange,_xlfn.XLOOKUP(AJ$1,dataRowRange,ActualDataRange))</f>
        <v>000075010</v>
      </c>
      <c r="AK7" s="31" t="str" cm="1">
        <f t="array" ref="AK7">_xlfn.XLOOKUP($A7,DataColumnRange,_xlfn.XLOOKUP(AK$1,dataRowRange,ActualDataRange))</f>
        <v>Domestic</v>
      </c>
      <c r="AL7" s="31" cm="1">
        <f t="array" ref="AL7">_xlfn.XLOOKUP($A7,DataColumnRange,_xlfn.XLOOKUP(AL$1,dataRowRange,ActualDataRange))</f>
        <v>0</v>
      </c>
    </row>
    <row r="8" spans="1:38" ht="17" thickBot="1">
      <c r="A8" s="75" t="s">
        <v>377</v>
      </c>
      <c r="B8" s="32" t="s">
        <v>44</v>
      </c>
      <c r="C8" s="32" t="s">
        <v>163</v>
      </c>
      <c r="D8" s="24" t="str">
        <f>IF(TestCaseConfig!$B$3="Yes","Yes","No")</f>
        <v>Yes</v>
      </c>
      <c r="E8" s="31" t="str" cm="1">
        <f t="array" ref="E8">_xlfn.XLOOKUP($A8,DataColumnRange,_xlfn.XLOOKUP(E$1,dataRowRange,ActualDataRange))</f>
        <v>sumit.choudhary@delta.com</v>
      </c>
      <c r="F8" s="31" t="str" cm="1">
        <f t="array" ref="F8">_xlfn.XLOOKUP($A8,DataColumnRange,_xlfn.XLOOKUP(F$1,dataRowRange,ActualDataRange))</f>
        <v>Delta2</v>
      </c>
      <c r="G8" s="31" t="b" cm="1">
        <f t="array" ref="G8">_xlfn.XLOOKUP($A8,DataColumnRange,_xlfn.XLOOKUP(G$1,dataRowRange,ActualDataRange))</f>
        <v>1</v>
      </c>
      <c r="H8" s="31" t="str" cm="1">
        <f t="array" ref="H8">_xlfn.XLOOKUP($A8,DataColumnRange,_xlfn.XLOOKUP(H$1,dataRowRange,ActualDataRange))</f>
        <v>NA</v>
      </c>
      <c r="I8" s="31" t="str" cm="1">
        <f t="array" ref="I8">_xlfn.XLOOKUP($A8,DataColumnRange,_xlfn.XLOOKUP(I$1,dataRowRange,ActualDataRange))</f>
        <v>JFK</v>
      </c>
      <c r="J8" s="31" t="str" cm="1">
        <f t="array" ref="J8">_xlfn.XLOOKUP($A8,DataColumnRange,_xlfn.XLOOKUP(J$1,dataRowRange,ActualDataRange))</f>
        <v>ATL</v>
      </c>
      <c r="K8" s="31" t="str" cm="1">
        <f t="array" ref="K8">_xlfn.XLOOKUP($A8,DataColumnRange,_xlfn.XLOOKUP(K$1,dataRowRange,ActualDataRange))</f>
        <v>Medical shipment – Medevac</v>
      </c>
      <c r="L8" s="31" t="str" cm="1">
        <f t="array" ref="L8">_xlfn.XLOOKUP($A8,DataColumnRange,_xlfn.XLOOKUP(L$1,dataRowRange,ActualDataRange))</f>
        <v>Test Medical</v>
      </c>
      <c r="M8" s="31" cm="1">
        <f t="array" ref="M8">_xlfn.XLOOKUP($A8,DataColumnRange,_xlfn.XLOOKUP(M$1,dataRowRange,ActualDataRange))</f>
        <v>10</v>
      </c>
      <c r="N8" s="31" t="str" cm="1">
        <f t="array" ref="N8">_xlfn.XLOOKUP($A8,DataColumnRange,_xlfn.XLOOKUP(N$1,dataRowRange,ActualDataRange))</f>
        <v>LB</v>
      </c>
      <c r="O8" s="31" cm="1">
        <f t="array" ref="O8">_xlfn.XLOOKUP($A8,DataColumnRange,_xlfn.XLOOKUP(O$1,dataRowRange,ActualDataRange))</f>
        <v>1</v>
      </c>
      <c r="P8" s="31" cm="1">
        <f t="array" ref="P8">_xlfn.XLOOKUP($A8,DataColumnRange,_xlfn.XLOOKUP(P$1,dataRowRange,ActualDataRange))</f>
        <v>10</v>
      </c>
      <c r="Q8" s="31" cm="1">
        <f t="array" ref="Q8">_xlfn.XLOOKUP($A8,DataColumnRange,_xlfn.XLOOKUP(Q$1,dataRowRange,ActualDataRange))</f>
        <v>10</v>
      </c>
      <c r="R8" s="31" cm="1">
        <f t="array" ref="R8">_xlfn.XLOOKUP($A8,DataColumnRange,_xlfn.XLOOKUP(R$1,dataRowRange,ActualDataRange))</f>
        <v>10</v>
      </c>
      <c r="S8" s="31" t="str" cm="1">
        <f t="array" ref="S8">_xlfn.XLOOKUP($A8,DataColumnRange,_xlfn.XLOOKUP(S$1,dataRowRange,ActualDataRange))</f>
        <v>IN</v>
      </c>
      <c r="T8" s="31" t="str" cm="1">
        <f t="array" ref="T8">_xlfn.XLOOKUP($A8,DataColumnRange,_xlfn.XLOOKUP(T$1,dataRowRange,ActualDataRange))</f>
        <v>Cubic Feet</v>
      </c>
      <c r="U8" s="31" t="str" cm="1">
        <f t="array" ref="U8">_xlfn.XLOOKUP($A8,DataColumnRange,_xlfn.XLOOKUP(U$1,dataRowRange,ActualDataRange))</f>
        <v>No</v>
      </c>
      <c r="V8" s="31" t="str" cm="1">
        <f t="array" ref="V8">_xlfn.XLOOKUP($A8,DataColumnRange,_xlfn.XLOOKUP(V$1,dataRowRange,ActualDataRange))</f>
        <v>No</v>
      </c>
      <c r="W8" s="31" t="str" cm="1">
        <f t="array" ref="W8">_xlfn.XLOOKUP($A8,DataColumnRange,_xlfn.XLOOKUP(W$1,dataRowRange,ActualDataRange))</f>
        <v>No</v>
      </c>
      <c r="X8" s="31" cm="1">
        <f t="array" ref="X8">_xlfn.XLOOKUP($A8,DataColumnRange,_xlfn.XLOOKUP(X$1,dataRowRange,ActualDataRange))</f>
        <v>2</v>
      </c>
      <c r="Y8" s="31" t="str" cm="1">
        <f t="array" ref="Y8">_xlfn.XLOOKUP($A8,DataColumnRange,_xlfn.XLOOKUP(Y$1,dataRowRange,ActualDataRange))</f>
        <v>No</v>
      </c>
      <c r="Z8" s="31" t="str" cm="1">
        <f t="array" ref="Z8">_xlfn.XLOOKUP($A8,DataColumnRange,_xlfn.XLOOKUP(Z$1,dataRowRange,ActualDataRange))</f>
        <v>NA</v>
      </c>
      <c r="AA8" s="31" t="str" cm="1">
        <f t="array" ref="AA8">_xlfn.XLOOKUP($A8,DataColumnRange,_xlfn.XLOOKUP(AA$1,dataRowRange,ActualDataRange))</f>
        <v>000260018</v>
      </c>
      <c r="AB8" s="31" t="str" cm="1">
        <f t="array" ref="AB8">_xlfn.XLOOKUP($A8,DataColumnRange,_xlfn.XLOOKUP(AB$1,dataRowRange,ActualDataRange))</f>
        <v>GeneralCargoTemplate</v>
      </c>
      <c r="AC8" s="31" t="str" cm="1">
        <f t="array" ref="AC8">_xlfn.XLOOKUP($A8,DataColumnRange,_xlfn.XLOOKUP(AC$1,dataRowRange,ActualDataRange))</f>
        <v>CreditCard</v>
      </c>
      <c r="AD8" s="31" t="str" cm="1">
        <f t="array" ref="AD8">_xlfn.XLOOKUP($A8,DataColumnRange,_xlfn.XLOOKUP(AD$1,dataRowRange,ActualDataRange))</f>
        <v>NA</v>
      </c>
      <c r="AE8" s="31" t="str" cm="1">
        <f t="array" ref="AE8">_xlfn.XLOOKUP($A8,DataColumnRange,_xlfn.XLOOKUP(AE$1,dataRowRange,ActualDataRange))</f>
        <v>Test1</v>
      </c>
      <c r="AF8" s="31" t="str" cm="1">
        <f t="array" ref="AF8">_xlfn.XLOOKUP($A8,DataColumnRange,_xlfn.XLOOKUP(AF$1,dataRowRange,ActualDataRange))</f>
        <v>Test2</v>
      </c>
      <c r="AG8" s="31" t="str" cm="1">
        <f t="array" ref="AG8">_xlfn.XLOOKUP($A8,DataColumnRange,_xlfn.XLOOKUP(AG$1,dataRowRange,ActualDataRange))</f>
        <v>Atlanta</v>
      </c>
      <c r="AH8" s="31" t="str" cm="1">
        <f t="array" ref="AH8">_xlfn.XLOOKUP($A8,DataColumnRange,_xlfn.XLOOKUP(AH$1,dataRowRange,ActualDataRange))</f>
        <v>Georgia</v>
      </c>
      <c r="AI8" s="31" cm="1">
        <f t="array" ref="AI8">_xlfn.XLOOKUP($A8,DataColumnRange,_xlfn.XLOOKUP(AI$1,dataRowRange,ActualDataRange))</f>
        <v>55055</v>
      </c>
      <c r="AJ8" s="31" t="str" cm="1">
        <f t="array" ref="AJ8">_xlfn.XLOOKUP($A8,DataColumnRange,_xlfn.XLOOKUP(AJ$1,dataRowRange,ActualDataRange))</f>
        <v>171276181</v>
      </c>
      <c r="AK8" s="31" t="str" cm="1">
        <f t="array" ref="AK8">_xlfn.XLOOKUP($A8,DataColumnRange,_xlfn.XLOOKUP(AK$1,dataRowRange,ActualDataRange))</f>
        <v>International</v>
      </c>
      <c r="AL8" s="31" cm="1">
        <f t="array" ref="AL8">_xlfn.XLOOKUP($A8,DataColumnRange,_xlfn.XLOOKUP(AL$1,dataRowRange,ActualDataRange))</f>
        <v>0</v>
      </c>
    </row>
    <row r="9" spans="1:38" ht="17" thickBot="1">
      <c r="A9" s="75" t="s">
        <v>378</v>
      </c>
      <c r="B9" s="32" t="s">
        <v>44</v>
      </c>
      <c r="C9" s="32" t="s">
        <v>163</v>
      </c>
      <c r="D9" s="24" t="str">
        <f>IF(TestCaseConfig!$B$3="Yes","Yes","No")</f>
        <v>Yes</v>
      </c>
      <c r="E9" s="31" t="str" cm="1">
        <f t="array" ref="E9">_xlfn.XLOOKUP($A9,DataColumnRange,_xlfn.XLOOKUP(E$1,dataRowRange,ActualDataRange))</f>
        <v>sumit.choudhary@delta.com</v>
      </c>
      <c r="F9" s="31" t="str" cm="1">
        <f t="array" ref="F9">_xlfn.XLOOKUP($A9,DataColumnRange,_xlfn.XLOOKUP(F$1,dataRowRange,ActualDataRange))</f>
        <v>Delta2</v>
      </c>
      <c r="G9" s="31" t="b" cm="1">
        <f t="array" ref="G9">_xlfn.XLOOKUP($A9,DataColumnRange,_xlfn.XLOOKUP(G$1,dataRowRange,ActualDataRange))</f>
        <v>1</v>
      </c>
      <c r="H9" s="31" t="str" cm="1">
        <f t="array" ref="H9">_xlfn.XLOOKUP($A9,DataColumnRange,_xlfn.XLOOKUP(H$1,dataRowRange,ActualDataRange))</f>
        <v>NA</v>
      </c>
      <c r="I9" s="31" t="str" cm="1">
        <f t="array" ref="I9">_xlfn.XLOOKUP($A9,DataColumnRange,_xlfn.XLOOKUP(I$1,dataRowRange,ActualDataRange))</f>
        <v>JFK</v>
      </c>
      <c r="J9" s="31" t="str" cm="1">
        <f t="array" ref="J9">_xlfn.XLOOKUP($A9,DataColumnRange,_xlfn.XLOOKUP(J$1,dataRowRange,ActualDataRange))</f>
        <v>ATL</v>
      </c>
      <c r="K9" s="31" t="str" cm="1">
        <f t="array" ref="K9">_xlfn.XLOOKUP($A9,DataColumnRange,_xlfn.XLOOKUP(K$1,dataRowRange,ActualDataRange))</f>
        <v>Medical shipment for transplant – Live Human Organ</v>
      </c>
      <c r="L9" s="31" t="str" cm="1">
        <f t="array" ref="L9">_xlfn.XLOOKUP($A9,DataColumnRange,_xlfn.XLOOKUP(L$1,dataRowRange,ActualDataRange))</f>
        <v>Test Medical</v>
      </c>
      <c r="M9" s="31" cm="1">
        <f t="array" ref="M9">_xlfn.XLOOKUP($A9,DataColumnRange,_xlfn.XLOOKUP(M$1,dataRowRange,ActualDataRange))</f>
        <v>10</v>
      </c>
      <c r="N9" s="31" t="str" cm="1">
        <f t="array" ref="N9">_xlfn.XLOOKUP($A9,DataColumnRange,_xlfn.XLOOKUP(N$1,dataRowRange,ActualDataRange))</f>
        <v>LB</v>
      </c>
      <c r="O9" s="31" cm="1">
        <f t="array" ref="O9">_xlfn.XLOOKUP($A9,DataColumnRange,_xlfn.XLOOKUP(O$1,dataRowRange,ActualDataRange))</f>
        <v>1</v>
      </c>
      <c r="P9" s="31" cm="1">
        <f t="array" ref="P9">_xlfn.XLOOKUP($A9,DataColumnRange,_xlfn.XLOOKUP(P$1,dataRowRange,ActualDataRange))</f>
        <v>10</v>
      </c>
      <c r="Q9" s="31" cm="1">
        <f t="array" ref="Q9">_xlfn.XLOOKUP($A9,DataColumnRange,_xlfn.XLOOKUP(Q$1,dataRowRange,ActualDataRange))</f>
        <v>10</v>
      </c>
      <c r="R9" s="31" cm="1">
        <f t="array" ref="R9">_xlfn.XLOOKUP($A9,DataColumnRange,_xlfn.XLOOKUP(R$1,dataRowRange,ActualDataRange))</f>
        <v>10</v>
      </c>
      <c r="S9" s="31" t="str" cm="1">
        <f t="array" ref="S9">_xlfn.XLOOKUP($A9,DataColumnRange,_xlfn.XLOOKUP(S$1,dataRowRange,ActualDataRange))</f>
        <v>IN</v>
      </c>
      <c r="T9" s="31" t="str" cm="1">
        <f t="array" ref="T9">_xlfn.XLOOKUP($A9,DataColumnRange,_xlfn.XLOOKUP(T$1,dataRowRange,ActualDataRange))</f>
        <v>Cubic Feet</v>
      </c>
      <c r="U9" s="31" t="str" cm="1">
        <f t="array" ref="U9">_xlfn.XLOOKUP($A9,DataColumnRange,_xlfn.XLOOKUP(U$1,dataRowRange,ActualDataRange))</f>
        <v>No</v>
      </c>
      <c r="V9" s="31" t="str" cm="1">
        <f t="array" ref="V9">_xlfn.XLOOKUP($A9,DataColumnRange,_xlfn.XLOOKUP(V$1,dataRowRange,ActualDataRange))</f>
        <v>No</v>
      </c>
      <c r="W9" s="31" t="str" cm="1">
        <f t="array" ref="W9">_xlfn.XLOOKUP($A9,DataColumnRange,_xlfn.XLOOKUP(W$1,dataRowRange,ActualDataRange))</f>
        <v>No</v>
      </c>
      <c r="X9" s="31" cm="1">
        <f t="array" ref="X9">_xlfn.XLOOKUP($A9,DataColumnRange,_xlfn.XLOOKUP(X$1,dataRowRange,ActualDataRange))</f>
        <v>2</v>
      </c>
      <c r="Y9" s="31" t="str" cm="1">
        <f t="array" ref="Y9">_xlfn.XLOOKUP($A9,DataColumnRange,_xlfn.XLOOKUP(Y$1,dataRowRange,ActualDataRange))</f>
        <v>No</v>
      </c>
      <c r="Z9" s="31" t="str" cm="1">
        <f t="array" ref="Z9">_xlfn.XLOOKUP($A9,DataColumnRange,_xlfn.XLOOKUP(Z$1,dataRowRange,ActualDataRange))</f>
        <v>NA</v>
      </c>
      <c r="AA9" s="31" t="str" cm="1">
        <f t="array" ref="AA9">_xlfn.XLOOKUP($A9,DataColumnRange,_xlfn.XLOOKUP(AA$1,dataRowRange,ActualDataRange))</f>
        <v>000260018</v>
      </c>
      <c r="AB9" s="31" t="str" cm="1">
        <f t="array" ref="AB9">_xlfn.XLOOKUP($A9,DataColumnRange,_xlfn.XLOOKUP(AB$1,dataRowRange,ActualDataRange))</f>
        <v>GeneralCargoTemplate</v>
      </c>
      <c r="AC9" s="31" t="str" cm="1">
        <f t="array" ref="AC9">_xlfn.XLOOKUP($A9,DataColumnRange,_xlfn.XLOOKUP(AC$1,dataRowRange,ActualDataRange))</f>
        <v>CreditCard</v>
      </c>
      <c r="AD9" s="31" t="str" cm="1">
        <f t="array" ref="AD9">_xlfn.XLOOKUP($A9,DataColumnRange,_xlfn.XLOOKUP(AD$1,dataRowRange,ActualDataRange))</f>
        <v>NA</v>
      </c>
      <c r="AE9" s="31" t="str" cm="1">
        <f t="array" ref="AE9">_xlfn.XLOOKUP($A9,DataColumnRange,_xlfn.XLOOKUP(AE$1,dataRowRange,ActualDataRange))</f>
        <v>Test1</v>
      </c>
      <c r="AF9" s="31" t="str" cm="1">
        <f t="array" ref="AF9">_xlfn.XLOOKUP($A9,DataColumnRange,_xlfn.XLOOKUP(AF$1,dataRowRange,ActualDataRange))</f>
        <v>Test2</v>
      </c>
      <c r="AG9" s="31" t="str" cm="1">
        <f t="array" ref="AG9">_xlfn.XLOOKUP($A9,DataColumnRange,_xlfn.XLOOKUP(AG$1,dataRowRange,ActualDataRange))</f>
        <v>Atlanta</v>
      </c>
      <c r="AH9" s="31" t="str" cm="1">
        <f t="array" ref="AH9">_xlfn.XLOOKUP($A9,DataColumnRange,_xlfn.XLOOKUP(AH$1,dataRowRange,ActualDataRange))</f>
        <v>Georgia</v>
      </c>
      <c r="AI9" s="31" cm="1">
        <f t="array" ref="AI9">_xlfn.XLOOKUP($A9,DataColumnRange,_xlfn.XLOOKUP(AI$1,dataRowRange,ActualDataRange))</f>
        <v>55055</v>
      </c>
      <c r="AJ9" s="31" t="str" cm="1">
        <f t="array" ref="AJ9">_xlfn.XLOOKUP($A9,DataColumnRange,_xlfn.XLOOKUP(AJ$1,dataRowRange,ActualDataRange))</f>
        <v>171276181</v>
      </c>
      <c r="AK9" s="31" t="str" cm="1">
        <f t="array" ref="AK9">_xlfn.XLOOKUP($A9,DataColumnRange,_xlfn.XLOOKUP(AK$1,dataRowRange,ActualDataRange))</f>
        <v>International</v>
      </c>
      <c r="AL9" s="31" cm="1">
        <f t="array" ref="AL9">_xlfn.XLOOKUP($A9,DataColumnRange,_xlfn.XLOOKUP(AL$1,dataRowRange,ActualDataRange))</f>
        <v>0</v>
      </c>
    </row>
    <row r="10" spans="1:38" ht="17" thickBot="1">
      <c r="A10" s="75" t="s">
        <v>379</v>
      </c>
      <c r="B10" s="32" t="s">
        <v>44</v>
      </c>
      <c r="C10" s="32" t="s">
        <v>163</v>
      </c>
      <c r="D10" s="24" t="str">
        <f>IF(TestCaseConfig!$B$3="Yes","Yes","No")</f>
        <v>Yes</v>
      </c>
      <c r="E10" s="31" t="str" cm="1">
        <f t="array" ref="E10">_xlfn.XLOOKUP($A10,DataColumnRange,_xlfn.XLOOKUP(E$1,dataRowRange,ActualDataRange))</f>
        <v>sumit.choudhary@delta.com</v>
      </c>
      <c r="F10" s="31" t="str" cm="1">
        <f t="array" ref="F10">_xlfn.XLOOKUP($A10,DataColumnRange,_xlfn.XLOOKUP(F$1,dataRowRange,ActualDataRange))</f>
        <v>Delta2</v>
      </c>
      <c r="G10" s="31" t="b" cm="1">
        <f t="array" ref="G10">_xlfn.XLOOKUP($A10,DataColumnRange,_xlfn.XLOOKUP(G$1,dataRowRange,ActualDataRange))</f>
        <v>1</v>
      </c>
      <c r="H10" s="31" t="str" cm="1">
        <f t="array" ref="H10">_xlfn.XLOOKUP($A10,DataColumnRange,_xlfn.XLOOKUP(H$1,dataRowRange,ActualDataRange))</f>
        <v>NA</v>
      </c>
      <c r="I10" s="31" t="str" cm="1">
        <f t="array" ref="I10">_xlfn.XLOOKUP($A10,DataColumnRange,_xlfn.XLOOKUP(I$1,dataRowRange,ActualDataRange))</f>
        <v>JFK</v>
      </c>
      <c r="J10" s="31" t="str" cm="1">
        <f t="array" ref="J10">_xlfn.XLOOKUP($A10,DataColumnRange,_xlfn.XLOOKUP(J$1,dataRowRange,ActualDataRange))</f>
        <v>ATL</v>
      </c>
      <c r="K10" s="31" t="str" cm="1">
        <f t="array" ref="K10">_xlfn.XLOOKUP($A10,DataColumnRange,_xlfn.XLOOKUP(K$1,dataRowRange,ActualDataRange))</f>
        <v>Life-saving drugs and medication or cord-blood</v>
      </c>
      <c r="L10" s="31" t="str" cm="1">
        <f t="array" ref="L10">_xlfn.XLOOKUP($A10,DataColumnRange,_xlfn.XLOOKUP(L$1,dataRowRange,ActualDataRange))</f>
        <v>Test Medical</v>
      </c>
      <c r="M10" s="31" cm="1">
        <f t="array" ref="M10">_xlfn.XLOOKUP($A10,DataColumnRange,_xlfn.XLOOKUP(M$1,dataRowRange,ActualDataRange))</f>
        <v>10</v>
      </c>
      <c r="N10" s="31" t="str" cm="1">
        <f t="array" ref="N10">_xlfn.XLOOKUP($A10,DataColumnRange,_xlfn.XLOOKUP(N$1,dataRowRange,ActualDataRange))</f>
        <v>LB</v>
      </c>
      <c r="O10" s="31" cm="1">
        <f t="array" ref="O10">_xlfn.XLOOKUP($A10,DataColumnRange,_xlfn.XLOOKUP(O$1,dataRowRange,ActualDataRange))</f>
        <v>1</v>
      </c>
      <c r="P10" s="31" cm="1">
        <f t="array" ref="P10">_xlfn.XLOOKUP($A10,DataColumnRange,_xlfn.XLOOKUP(P$1,dataRowRange,ActualDataRange))</f>
        <v>10</v>
      </c>
      <c r="Q10" s="31" cm="1">
        <f t="array" ref="Q10">_xlfn.XLOOKUP($A10,DataColumnRange,_xlfn.XLOOKUP(Q$1,dataRowRange,ActualDataRange))</f>
        <v>10</v>
      </c>
      <c r="R10" s="31" cm="1">
        <f t="array" ref="R10">_xlfn.XLOOKUP($A10,DataColumnRange,_xlfn.XLOOKUP(R$1,dataRowRange,ActualDataRange))</f>
        <v>10</v>
      </c>
      <c r="S10" s="31" t="str" cm="1">
        <f t="array" ref="S10">_xlfn.XLOOKUP($A10,DataColumnRange,_xlfn.XLOOKUP(S$1,dataRowRange,ActualDataRange))</f>
        <v>IN</v>
      </c>
      <c r="T10" s="31" t="str" cm="1">
        <f t="array" ref="T10">_xlfn.XLOOKUP($A10,DataColumnRange,_xlfn.XLOOKUP(T$1,dataRowRange,ActualDataRange))</f>
        <v>Cubic Feet</v>
      </c>
      <c r="U10" s="31" t="str" cm="1">
        <f t="array" ref="U10">_xlfn.XLOOKUP($A10,DataColumnRange,_xlfn.XLOOKUP(U$1,dataRowRange,ActualDataRange))</f>
        <v>No</v>
      </c>
      <c r="V10" s="31" t="str" cm="1">
        <f t="array" ref="V10">_xlfn.XLOOKUP($A10,DataColumnRange,_xlfn.XLOOKUP(V$1,dataRowRange,ActualDataRange))</f>
        <v>No</v>
      </c>
      <c r="W10" s="31" t="str" cm="1">
        <f t="array" ref="W10">_xlfn.XLOOKUP($A10,DataColumnRange,_xlfn.XLOOKUP(W$1,dataRowRange,ActualDataRange))</f>
        <v>No</v>
      </c>
      <c r="X10" s="31" cm="1">
        <f t="array" ref="X10">_xlfn.XLOOKUP($A10,DataColumnRange,_xlfn.XLOOKUP(X$1,dataRowRange,ActualDataRange))</f>
        <v>2</v>
      </c>
      <c r="Y10" s="31" t="str" cm="1">
        <f t="array" ref="Y10">_xlfn.XLOOKUP($A10,DataColumnRange,_xlfn.XLOOKUP(Y$1,dataRowRange,ActualDataRange))</f>
        <v>No</v>
      </c>
      <c r="Z10" s="31" t="str" cm="1">
        <f t="array" ref="Z10">_xlfn.XLOOKUP($A10,DataColumnRange,_xlfn.XLOOKUP(Z$1,dataRowRange,ActualDataRange))</f>
        <v>NA</v>
      </c>
      <c r="AA10" s="31" t="str" cm="1">
        <f t="array" ref="AA10">_xlfn.XLOOKUP($A10,DataColumnRange,_xlfn.XLOOKUP(AA$1,dataRowRange,ActualDataRange))</f>
        <v>000260018</v>
      </c>
      <c r="AB10" s="31" t="str" cm="1">
        <f t="array" ref="AB10">_xlfn.XLOOKUP($A10,DataColumnRange,_xlfn.XLOOKUP(AB$1,dataRowRange,ActualDataRange))</f>
        <v>GeneralCargoTemplate</v>
      </c>
      <c r="AC10" s="31" t="str" cm="1">
        <f t="array" ref="AC10">_xlfn.XLOOKUP($A10,DataColumnRange,_xlfn.XLOOKUP(AC$1,dataRowRange,ActualDataRange))</f>
        <v>CreditCard</v>
      </c>
      <c r="AD10" s="31" t="str" cm="1">
        <f t="array" ref="AD10">_xlfn.XLOOKUP($A10,DataColumnRange,_xlfn.XLOOKUP(AD$1,dataRowRange,ActualDataRange))</f>
        <v>NA</v>
      </c>
      <c r="AE10" s="31" t="str" cm="1">
        <f t="array" ref="AE10">_xlfn.XLOOKUP($A10,DataColumnRange,_xlfn.XLOOKUP(AE$1,dataRowRange,ActualDataRange))</f>
        <v>Test1</v>
      </c>
      <c r="AF10" s="31" t="str" cm="1">
        <f t="array" ref="AF10">_xlfn.XLOOKUP($A10,DataColumnRange,_xlfn.XLOOKUP(AF$1,dataRowRange,ActualDataRange))</f>
        <v>Test2</v>
      </c>
      <c r="AG10" s="31" t="str" cm="1">
        <f t="array" ref="AG10">_xlfn.XLOOKUP($A10,DataColumnRange,_xlfn.XLOOKUP(AG$1,dataRowRange,ActualDataRange))</f>
        <v>Atlanta</v>
      </c>
      <c r="AH10" s="31" t="str" cm="1">
        <f t="array" ref="AH10">_xlfn.XLOOKUP($A10,DataColumnRange,_xlfn.XLOOKUP(AH$1,dataRowRange,ActualDataRange))</f>
        <v>Georgia</v>
      </c>
      <c r="AI10" s="31" cm="1">
        <f t="array" ref="AI10">_xlfn.XLOOKUP($A10,DataColumnRange,_xlfn.XLOOKUP(AI$1,dataRowRange,ActualDataRange))</f>
        <v>55055</v>
      </c>
      <c r="AJ10" s="31" t="str" cm="1">
        <f t="array" ref="AJ10">_xlfn.XLOOKUP($A10,DataColumnRange,_xlfn.XLOOKUP(AJ$1,dataRowRange,ActualDataRange))</f>
        <v>171276181</v>
      </c>
      <c r="AK10" s="31" t="str" cm="1">
        <f t="array" ref="AK10">_xlfn.XLOOKUP($A10,DataColumnRange,_xlfn.XLOOKUP(AK$1,dataRowRange,ActualDataRange))</f>
        <v>International</v>
      </c>
      <c r="AL10" s="31" cm="1">
        <f t="array" ref="AL10">_xlfn.XLOOKUP($A10,DataColumnRange,_xlfn.XLOOKUP(AL$1,dataRowRange,ActualDataRange))</f>
        <v>0</v>
      </c>
    </row>
    <row r="11" spans="1:38" ht="17" thickBot="1">
      <c r="A11" s="75" t="s">
        <v>380</v>
      </c>
      <c r="B11" s="32" t="s">
        <v>44</v>
      </c>
      <c r="C11" s="32" t="s">
        <v>163</v>
      </c>
      <c r="D11" s="24" t="str">
        <f>IF(TestCaseConfig!$B$3="Yes","Yes","No")</f>
        <v>Yes</v>
      </c>
      <c r="E11" s="31" t="str" cm="1">
        <f t="array" ref="E11">_xlfn.XLOOKUP($A11,DataColumnRange,_xlfn.XLOOKUP(E$1,dataRowRange,ActualDataRange))</f>
        <v>sumit.choudhary@delta.com</v>
      </c>
      <c r="F11" s="31" t="str" cm="1">
        <f t="array" ref="F11">_xlfn.XLOOKUP($A11,DataColumnRange,_xlfn.XLOOKUP(F$1,dataRowRange,ActualDataRange))</f>
        <v>Delta2</v>
      </c>
      <c r="G11" s="31" t="b" cm="1">
        <f t="array" ref="G11">_xlfn.XLOOKUP($A11,DataColumnRange,_xlfn.XLOOKUP(G$1,dataRowRange,ActualDataRange))</f>
        <v>1</v>
      </c>
      <c r="H11" s="31" t="str" cm="1">
        <f t="array" ref="H11">_xlfn.XLOOKUP($A11,DataColumnRange,_xlfn.XLOOKUP(H$1,dataRowRange,ActualDataRange))</f>
        <v>NA</v>
      </c>
      <c r="I11" s="31" t="str" cm="1">
        <f t="array" ref="I11">_xlfn.XLOOKUP($A11,DataColumnRange,_xlfn.XLOOKUP(I$1,dataRowRange,ActualDataRange))</f>
        <v>JFK</v>
      </c>
      <c r="J11" s="31" t="str" cm="1">
        <f t="array" ref="J11">_xlfn.XLOOKUP($A11,DataColumnRange,_xlfn.XLOOKUP(J$1,dataRowRange,ActualDataRange))</f>
        <v>ATL</v>
      </c>
      <c r="K11" s="31" t="str" cm="1">
        <f t="array" ref="K11">_xlfn.XLOOKUP($A11,DataColumnRange,_xlfn.XLOOKUP(K$1,dataRowRange,ActualDataRange))</f>
        <v>Medical shipment for transplant – Other</v>
      </c>
      <c r="L11" s="31" t="str" cm="1">
        <f t="array" ref="L11">_xlfn.XLOOKUP($A11,DataColumnRange,_xlfn.XLOOKUP(L$1,dataRowRange,ActualDataRange))</f>
        <v>Test Medical</v>
      </c>
      <c r="M11" s="31" cm="1">
        <f t="array" ref="M11">_xlfn.XLOOKUP($A11,DataColumnRange,_xlfn.XLOOKUP(M$1,dataRowRange,ActualDataRange))</f>
        <v>10</v>
      </c>
      <c r="N11" s="31" t="str" cm="1">
        <f t="array" ref="N11">_xlfn.XLOOKUP($A11,DataColumnRange,_xlfn.XLOOKUP(N$1,dataRowRange,ActualDataRange))</f>
        <v>LB</v>
      </c>
      <c r="O11" s="31" cm="1">
        <f t="array" ref="O11">_xlfn.XLOOKUP($A11,DataColumnRange,_xlfn.XLOOKUP(O$1,dataRowRange,ActualDataRange))</f>
        <v>1</v>
      </c>
      <c r="P11" s="31" cm="1">
        <f t="array" ref="P11">_xlfn.XLOOKUP($A11,DataColumnRange,_xlfn.XLOOKUP(P$1,dataRowRange,ActualDataRange))</f>
        <v>10</v>
      </c>
      <c r="Q11" s="31" cm="1">
        <f t="array" ref="Q11">_xlfn.XLOOKUP($A11,DataColumnRange,_xlfn.XLOOKUP(Q$1,dataRowRange,ActualDataRange))</f>
        <v>10</v>
      </c>
      <c r="R11" s="31" cm="1">
        <f t="array" ref="R11">_xlfn.XLOOKUP($A11,DataColumnRange,_xlfn.XLOOKUP(R$1,dataRowRange,ActualDataRange))</f>
        <v>10</v>
      </c>
      <c r="S11" s="31" t="str" cm="1">
        <f t="array" ref="S11">_xlfn.XLOOKUP($A11,DataColumnRange,_xlfn.XLOOKUP(S$1,dataRowRange,ActualDataRange))</f>
        <v>IN</v>
      </c>
      <c r="T11" s="31" t="str" cm="1">
        <f t="array" ref="T11">_xlfn.XLOOKUP($A11,DataColumnRange,_xlfn.XLOOKUP(T$1,dataRowRange,ActualDataRange))</f>
        <v>Cubic Feet</v>
      </c>
      <c r="U11" s="31" t="str" cm="1">
        <f t="array" ref="U11">_xlfn.XLOOKUP($A11,DataColumnRange,_xlfn.XLOOKUP(U$1,dataRowRange,ActualDataRange))</f>
        <v>No</v>
      </c>
      <c r="V11" s="31" t="str" cm="1">
        <f t="array" ref="V11">_xlfn.XLOOKUP($A11,DataColumnRange,_xlfn.XLOOKUP(V$1,dataRowRange,ActualDataRange))</f>
        <v>No</v>
      </c>
      <c r="W11" s="31" t="str" cm="1">
        <f t="array" ref="W11">_xlfn.XLOOKUP($A11,DataColumnRange,_xlfn.XLOOKUP(W$1,dataRowRange,ActualDataRange))</f>
        <v>No</v>
      </c>
      <c r="X11" s="31" cm="1">
        <f t="array" ref="X11">_xlfn.XLOOKUP($A11,DataColumnRange,_xlfn.XLOOKUP(X$1,dataRowRange,ActualDataRange))</f>
        <v>2</v>
      </c>
      <c r="Y11" s="31" t="str" cm="1">
        <f t="array" ref="Y11">_xlfn.XLOOKUP($A11,DataColumnRange,_xlfn.XLOOKUP(Y$1,dataRowRange,ActualDataRange))</f>
        <v>No</v>
      </c>
      <c r="Z11" s="31" t="str" cm="1">
        <f t="array" ref="Z11">_xlfn.XLOOKUP($A11,DataColumnRange,_xlfn.XLOOKUP(Z$1,dataRowRange,ActualDataRange))</f>
        <v>NA</v>
      </c>
      <c r="AA11" s="31" t="str" cm="1">
        <f t="array" ref="AA11">_xlfn.XLOOKUP($A11,DataColumnRange,_xlfn.XLOOKUP(AA$1,dataRowRange,ActualDataRange))</f>
        <v>000260018</v>
      </c>
      <c r="AB11" s="31" t="str" cm="1">
        <f t="array" ref="AB11">_xlfn.XLOOKUP($A11,DataColumnRange,_xlfn.XLOOKUP(AB$1,dataRowRange,ActualDataRange))</f>
        <v>GeneralCargoTemplate</v>
      </c>
      <c r="AC11" s="31" t="str" cm="1">
        <f t="array" ref="AC11">_xlfn.XLOOKUP($A11,DataColumnRange,_xlfn.XLOOKUP(AC$1,dataRowRange,ActualDataRange))</f>
        <v>CreditCard</v>
      </c>
      <c r="AD11" s="31" t="str" cm="1">
        <f t="array" ref="AD11">_xlfn.XLOOKUP($A11,DataColumnRange,_xlfn.XLOOKUP(AD$1,dataRowRange,ActualDataRange))</f>
        <v>NA</v>
      </c>
      <c r="AE11" s="31" t="str" cm="1">
        <f t="array" ref="AE11">_xlfn.XLOOKUP($A11,DataColumnRange,_xlfn.XLOOKUP(AE$1,dataRowRange,ActualDataRange))</f>
        <v>Test1</v>
      </c>
      <c r="AF11" s="31" t="str" cm="1">
        <f t="array" ref="AF11">_xlfn.XLOOKUP($A11,DataColumnRange,_xlfn.XLOOKUP(AF$1,dataRowRange,ActualDataRange))</f>
        <v>Test2</v>
      </c>
      <c r="AG11" s="31" t="str" cm="1">
        <f t="array" ref="AG11">_xlfn.XLOOKUP($A11,DataColumnRange,_xlfn.XLOOKUP(AG$1,dataRowRange,ActualDataRange))</f>
        <v>Atlanta</v>
      </c>
      <c r="AH11" s="31" t="str" cm="1">
        <f t="array" ref="AH11">_xlfn.XLOOKUP($A11,DataColumnRange,_xlfn.XLOOKUP(AH$1,dataRowRange,ActualDataRange))</f>
        <v>Georgia</v>
      </c>
      <c r="AI11" s="31" cm="1">
        <f t="array" ref="AI11">_xlfn.XLOOKUP($A11,DataColumnRange,_xlfn.XLOOKUP(AI$1,dataRowRange,ActualDataRange))</f>
        <v>55055</v>
      </c>
      <c r="AJ11" s="31" t="str" cm="1">
        <f t="array" ref="AJ11">_xlfn.XLOOKUP($A11,DataColumnRange,_xlfn.XLOOKUP(AJ$1,dataRowRange,ActualDataRange))</f>
        <v>171276181</v>
      </c>
      <c r="AK11" s="31" t="str" cm="1">
        <f t="array" ref="AK11">_xlfn.XLOOKUP($A11,DataColumnRange,_xlfn.XLOOKUP(AK$1,dataRowRange,ActualDataRange))</f>
        <v>International</v>
      </c>
      <c r="AL11" s="31" cm="1">
        <f t="array" ref="AL11">_xlfn.XLOOKUP($A11,DataColumnRange,_xlfn.XLOOKUP(AL$1,dataRowRange,ActualDataRange))</f>
        <v>0</v>
      </c>
    </row>
    <row r="12" spans="1:38" ht="17" thickBot="1">
      <c r="A12" s="75" t="s">
        <v>381</v>
      </c>
      <c r="B12" s="32" t="s">
        <v>44</v>
      </c>
      <c r="C12" s="32" t="s">
        <v>163</v>
      </c>
      <c r="D12" s="24" t="str">
        <f>IF(TestCaseConfig!$B$3="Yes","Yes","No")</f>
        <v>Yes</v>
      </c>
      <c r="E12" s="31" t="str" cm="1">
        <f t="array" ref="E12">_xlfn.XLOOKUP($A12,DataColumnRange,_xlfn.XLOOKUP(E$1,dataRowRange,ActualDataRange))</f>
        <v>sumit.choudhary@delta.com</v>
      </c>
      <c r="F12" s="31" t="str" cm="1">
        <f t="array" ref="F12">_xlfn.XLOOKUP($A12,DataColumnRange,_xlfn.XLOOKUP(F$1,dataRowRange,ActualDataRange))</f>
        <v>Delta2</v>
      </c>
      <c r="G12" s="31" t="b" cm="1">
        <f t="array" ref="G12">_xlfn.XLOOKUP($A12,DataColumnRange,_xlfn.XLOOKUP(G$1,dataRowRange,ActualDataRange))</f>
        <v>1</v>
      </c>
      <c r="H12" s="31" t="str" cm="1">
        <f t="array" ref="H12">_xlfn.XLOOKUP($A12,DataColumnRange,_xlfn.XLOOKUP(H$1,dataRowRange,ActualDataRange))</f>
        <v>NA</v>
      </c>
      <c r="I12" s="31" t="str" cm="1">
        <f t="array" ref="I12">_xlfn.XLOOKUP($A12,DataColumnRange,_xlfn.XLOOKUP(I$1,dataRowRange,ActualDataRange))</f>
        <v>JFK</v>
      </c>
      <c r="J12" s="31" t="str" cm="1">
        <f t="array" ref="J12">_xlfn.XLOOKUP($A12,DataColumnRange,_xlfn.XLOOKUP(J$1,dataRowRange,ActualDataRange))</f>
        <v>ATL</v>
      </c>
      <c r="K12" s="31" t="str" cm="1">
        <f t="array" ref="K12">_xlfn.XLOOKUP($A12,DataColumnRange,_xlfn.XLOOKUP(K$1,dataRowRange,ActualDataRange))</f>
        <v>Medical shipment not for transplant - Diagnostic Specimen</v>
      </c>
      <c r="L12" s="31" t="str" cm="1">
        <f t="array" ref="L12">_xlfn.XLOOKUP($A12,DataColumnRange,_xlfn.XLOOKUP(L$1,dataRowRange,ActualDataRange))</f>
        <v>Test Medical</v>
      </c>
      <c r="M12" s="31" cm="1">
        <f t="array" ref="M12">_xlfn.XLOOKUP($A12,DataColumnRange,_xlfn.XLOOKUP(M$1,dataRowRange,ActualDataRange))</f>
        <v>10</v>
      </c>
      <c r="N12" s="31" t="str" cm="1">
        <f t="array" ref="N12">_xlfn.XLOOKUP($A12,DataColumnRange,_xlfn.XLOOKUP(N$1,dataRowRange,ActualDataRange))</f>
        <v>LB</v>
      </c>
      <c r="O12" s="31" cm="1">
        <f t="array" ref="O12">_xlfn.XLOOKUP($A12,DataColumnRange,_xlfn.XLOOKUP(O$1,dataRowRange,ActualDataRange))</f>
        <v>1</v>
      </c>
      <c r="P12" s="31" cm="1">
        <f t="array" ref="P12">_xlfn.XLOOKUP($A12,DataColumnRange,_xlfn.XLOOKUP(P$1,dataRowRange,ActualDataRange))</f>
        <v>10</v>
      </c>
      <c r="Q12" s="31" cm="1">
        <f t="array" ref="Q12">_xlfn.XLOOKUP($A12,DataColumnRange,_xlfn.XLOOKUP(Q$1,dataRowRange,ActualDataRange))</f>
        <v>10</v>
      </c>
      <c r="R12" s="31" cm="1">
        <f t="array" ref="R12">_xlfn.XLOOKUP($A12,DataColumnRange,_xlfn.XLOOKUP(R$1,dataRowRange,ActualDataRange))</f>
        <v>10</v>
      </c>
      <c r="S12" s="31" t="str" cm="1">
        <f t="array" ref="S12">_xlfn.XLOOKUP($A12,DataColumnRange,_xlfn.XLOOKUP(S$1,dataRowRange,ActualDataRange))</f>
        <v>IN</v>
      </c>
      <c r="T12" s="31" t="str" cm="1">
        <f t="array" ref="T12">_xlfn.XLOOKUP($A12,DataColumnRange,_xlfn.XLOOKUP(T$1,dataRowRange,ActualDataRange))</f>
        <v>Cubic Feet</v>
      </c>
      <c r="U12" s="31" t="str" cm="1">
        <f t="array" ref="U12">_xlfn.XLOOKUP($A12,DataColumnRange,_xlfn.XLOOKUP(U$1,dataRowRange,ActualDataRange))</f>
        <v>No</v>
      </c>
      <c r="V12" s="31" t="str" cm="1">
        <f t="array" ref="V12">_xlfn.XLOOKUP($A12,DataColumnRange,_xlfn.XLOOKUP(V$1,dataRowRange,ActualDataRange))</f>
        <v>No</v>
      </c>
      <c r="W12" s="31" t="str" cm="1">
        <f t="array" ref="W12">_xlfn.XLOOKUP($A12,DataColumnRange,_xlfn.XLOOKUP(W$1,dataRowRange,ActualDataRange))</f>
        <v>No</v>
      </c>
      <c r="X12" s="31" cm="1">
        <f t="array" ref="X12">_xlfn.XLOOKUP($A12,DataColumnRange,_xlfn.XLOOKUP(X$1,dataRowRange,ActualDataRange))</f>
        <v>2</v>
      </c>
      <c r="Y12" s="31" t="str" cm="1">
        <f t="array" ref="Y12">_xlfn.XLOOKUP($A12,DataColumnRange,_xlfn.XLOOKUP(Y$1,dataRowRange,ActualDataRange))</f>
        <v>No</v>
      </c>
      <c r="Z12" s="31" t="str" cm="1">
        <f t="array" ref="Z12">_xlfn.XLOOKUP($A12,DataColumnRange,_xlfn.XLOOKUP(Z$1,dataRowRange,ActualDataRange))</f>
        <v>NA</v>
      </c>
      <c r="AA12" s="31" t="str" cm="1">
        <f t="array" ref="AA12">_xlfn.XLOOKUP($A12,DataColumnRange,_xlfn.XLOOKUP(AA$1,dataRowRange,ActualDataRange))</f>
        <v>000260018</v>
      </c>
      <c r="AB12" s="31" t="str" cm="1">
        <f t="array" ref="AB12">_xlfn.XLOOKUP($A12,DataColumnRange,_xlfn.XLOOKUP(AB$1,dataRowRange,ActualDataRange))</f>
        <v>GeneralCargoTemplate</v>
      </c>
      <c r="AC12" s="31" t="str" cm="1">
        <f t="array" ref="AC12">_xlfn.XLOOKUP($A12,DataColumnRange,_xlfn.XLOOKUP(AC$1,dataRowRange,ActualDataRange))</f>
        <v>CreditCard</v>
      </c>
      <c r="AD12" s="31" t="str" cm="1">
        <f t="array" ref="AD12">_xlfn.XLOOKUP($A12,DataColumnRange,_xlfn.XLOOKUP(AD$1,dataRowRange,ActualDataRange))</f>
        <v>NA</v>
      </c>
      <c r="AE12" s="31" t="str" cm="1">
        <f t="array" ref="AE12">_xlfn.XLOOKUP($A12,DataColumnRange,_xlfn.XLOOKUP(AE$1,dataRowRange,ActualDataRange))</f>
        <v>Test1</v>
      </c>
      <c r="AF12" s="31" t="str" cm="1">
        <f t="array" ref="AF12">_xlfn.XLOOKUP($A12,DataColumnRange,_xlfn.XLOOKUP(AF$1,dataRowRange,ActualDataRange))</f>
        <v>Test2</v>
      </c>
      <c r="AG12" s="31" t="str" cm="1">
        <f t="array" ref="AG12">_xlfn.XLOOKUP($A12,DataColumnRange,_xlfn.XLOOKUP(AG$1,dataRowRange,ActualDataRange))</f>
        <v>Atlanta</v>
      </c>
      <c r="AH12" s="31" t="str" cm="1">
        <f t="array" ref="AH12">_xlfn.XLOOKUP($A12,DataColumnRange,_xlfn.XLOOKUP(AH$1,dataRowRange,ActualDataRange))</f>
        <v>Georgia</v>
      </c>
      <c r="AI12" s="31" cm="1">
        <f t="array" ref="AI12">_xlfn.XLOOKUP($A12,DataColumnRange,_xlfn.XLOOKUP(AI$1,dataRowRange,ActualDataRange))</f>
        <v>55055</v>
      </c>
      <c r="AJ12" s="31" t="str" cm="1">
        <f t="array" ref="AJ12">_xlfn.XLOOKUP($A12,DataColumnRange,_xlfn.XLOOKUP(AJ$1,dataRowRange,ActualDataRange))</f>
        <v>171276181</v>
      </c>
      <c r="AK12" s="31" t="str" cm="1">
        <f t="array" ref="AK12">_xlfn.XLOOKUP($A12,DataColumnRange,_xlfn.XLOOKUP(AK$1,dataRowRange,ActualDataRange))</f>
        <v>International</v>
      </c>
      <c r="AL12" s="31" cm="1">
        <f t="array" ref="AL12">_xlfn.XLOOKUP($A12,DataColumnRange,_xlfn.XLOOKUP(AL$1,dataRowRange,ActualDataRange))</f>
        <v>0</v>
      </c>
    </row>
    <row r="13" spans="1:38" ht="17" thickBot="1">
      <c r="A13" s="75" t="s">
        <v>382</v>
      </c>
      <c r="B13" s="32" t="s">
        <v>44</v>
      </c>
      <c r="C13" s="32" t="s">
        <v>163</v>
      </c>
      <c r="D13" s="24" t="str">
        <f>IF(TestCaseConfig!$B$3="Yes","Yes","No")</f>
        <v>Yes</v>
      </c>
      <c r="E13" s="31" t="str" cm="1">
        <f t="array" ref="E13">_xlfn.XLOOKUP($A13,DataColumnRange,_xlfn.XLOOKUP(E$1,dataRowRange,ActualDataRange))</f>
        <v>sumit.choudhary@delta.com</v>
      </c>
      <c r="F13" s="31" t="str" cm="1">
        <f t="array" ref="F13">_xlfn.XLOOKUP($A13,DataColumnRange,_xlfn.XLOOKUP(F$1,dataRowRange,ActualDataRange))</f>
        <v>Delta2</v>
      </c>
      <c r="G13" s="31" t="b" cm="1">
        <f t="array" ref="G13">_xlfn.XLOOKUP($A13,DataColumnRange,_xlfn.XLOOKUP(G$1,dataRowRange,ActualDataRange))</f>
        <v>1</v>
      </c>
      <c r="H13" s="31" t="str" cm="1">
        <f t="array" ref="H13">_xlfn.XLOOKUP($A13,DataColumnRange,_xlfn.XLOOKUP(H$1,dataRowRange,ActualDataRange))</f>
        <v>NA</v>
      </c>
      <c r="I13" s="31" t="str" cm="1">
        <f t="array" ref="I13">_xlfn.XLOOKUP($A13,DataColumnRange,_xlfn.XLOOKUP(I$1,dataRowRange,ActualDataRange))</f>
        <v>JFK</v>
      </c>
      <c r="J13" s="31" t="str" cm="1">
        <f t="array" ref="J13">_xlfn.XLOOKUP($A13,DataColumnRange,_xlfn.XLOOKUP(J$1,dataRowRange,ActualDataRange))</f>
        <v>ATL</v>
      </c>
      <c r="K13" s="31" t="str" cm="1">
        <f t="array" ref="K13">_xlfn.XLOOKUP($A13,DataColumnRange,_xlfn.XLOOKUP(K$1,dataRowRange,ActualDataRange))</f>
        <v>Medical shipment not for transplant - Other</v>
      </c>
      <c r="L13" s="31" t="str" cm="1">
        <f t="array" ref="L13">_xlfn.XLOOKUP($A13,DataColumnRange,_xlfn.XLOOKUP(L$1,dataRowRange,ActualDataRange))</f>
        <v>Test Medical</v>
      </c>
      <c r="M13" s="31" cm="1">
        <f t="array" ref="M13">_xlfn.XLOOKUP($A13,DataColumnRange,_xlfn.XLOOKUP(M$1,dataRowRange,ActualDataRange))</f>
        <v>10</v>
      </c>
      <c r="N13" s="31" t="str" cm="1">
        <f t="array" ref="N13">_xlfn.XLOOKUP($A13,DataColumnRange,_xlfn.XLOOKUP(N$1,dataRowRange,ActualDataRange))</f>
        <v>LB</v>
      </c>
      <c r="O13" s="31" cm="1">
        <f t="array" ref="O13">_xlfn.XLOOKUP($A13,DataColumnRange,_xlfn.XLOOKUP(O$1,dataRowRange,ActualDataRange))</f>
        <v>1</v>
      </c>
      <c r="P13" s="31" cm="1">
        <f t="array" ref="P13">_xlfn.XLOOKUP($A13,DataColumnRange,_xlfn.XLOOKUP(P$1,dataRowRange,ActualDataRange))</f>
        <v>10</v>
      </c>
      <c r="Q13" s="31" cm="1">
        <f t="array" ref="Q13">_xlfn.XLOOKUP($A13,DataColumnRange,_xlfn.XLOOKUP(Q$1,dataRowRange,ActualDataRange))</f>
        <v>10</v>
      </c>
      <c r="R13" s="31" cm="1">
        <f t="array" ref="R13">_xlfn.XLOOKUP($A13,DataColumnRange,_xlfn.XLOOKUP(R$1,dataRowRange,ActualDataRange))</f>
        <v>10</v>
      </c>
      <c r="S13" s="31" t="str" cm="1">
        <f t="array" ref="S13">_xlfn.XLOOKUP($A13,DataColumnRange,_xlfn.XLOOKUP(S$1,dataRowRange,ActualDataRange))</f>
        <v>IN</v>
      </c>
      <c r="T13" s="31" t="str" cm="1">
        <f t="array" ref="T13">_xlfn.XLOOKUP($A13,DataColumnRange,_xlfn.XLOOKUP(T$1,dataRowRange,ActualDataRange))</f>
        <v>Cubic Feet</v>
      </c>
      <c r="U13" s="31" t="str" cm="1">
        <f t="array" ref="U13">_xlfn.XLOOKUP($A13,DataColumnRange,_xlfn.XLOOKUP(U$1,dataRowRange,ActualDataRange))</f>
        <v>No</v>
      </c>
      <c r="V13" s="31" t="str" cm="1">
        <f t="array" ref="V13">_xlfn.XLOOKUP($A13,DataColumnRange,_xlfn.XLOOKUP(V$1,dataRowRange,ActualDataRange))</f>
        <v>No</v>
      </c>
      <c r="W13" s="31" t="str" cm="1">
        <f t="array" ref="W13">_xlfn.XLOOKUP($A13,DataColumnRange,_xlfn.XLOOKUP(W$1,dataRowRange,ActualDataRange))</f>
        <v>No</v>
      </c>
      <c r="X13" s="31" cm="1">
        <f t="array" ref="X13">_xlfn.XLOOKUP($A13,DataColumnRange,_xlfn.XLOOKUP(X$1,dataRowRange,ActualDataRange))</f>
        <v>2</v>
      </c>
      <c r="Y13" s="31" t="str" cm="1">
        <f t="array" ref="Y13">_xlfn.XLOOKUP($A13,DataColumnRange,_xlfn.XLOOKUP(Y$1,dataRowRange,ActualDataRange))</f>
        <v>No</v>
      </c>
      <c r="Z13" s="31" t="str" cm="1">
        <f t="array" ref="Z13">_xlfn.XLOOKUP($A13,DataColumnRange,_xlfn.XLOOKUP(Z$1,dataRowRange,ActualDataRange))</f>
        <v>NA</v>
      </c>
      <c r="AA13" s="31" t="str" cm="1">
        <f t="array" ref="AA13">_xlfn.XLOOKUP($A13,DataColumnRange,_xlfn.XLOOKUP(AA$1,dataRowRange,ActualDataRange))</f>
        <v>000260018</v>
      </c>
      <c r="AB13" s="31" t="str" cm="1">
        <f t="array" ref="AB13">_xlfn.XLOOKUP($A13,DataColumnRange,_xlfn.XLOOKUP(AB$1,dataRowRange,ActualDataRange))</f>
        <v>GeneralCargoTemplate</v>
      </c>
      <c r="AC13" s="31" t="str" cm="1">
        <f t="array" ref="AC13">_xlfn.XLOOKUP($A13,DataColumnRange,_xlfn.XLOOKUP(AC$1,dataRowRange,ActualDataRange))</f>
        <v>CreditCard</v>
      </c>
      <c r="AD13" s="31" t="str" cm="1">
        <f t="array" ref="AD13">_xlfn.XLOOKUP($A13,DataColumnRange,_xlfn.XLOOKUP(AD$1,dataRowRange,ActualDataRange))</f>
        <v>NA</v>
      </c>
      <c r="AE13" s="31" t="str" cm="1">
        <f t="array" ref="AE13">_xlfn.XLOOKUP($A13,DataColumnRange,_xlfn.XLOOKUP(AE$1,dataRowRange,ActualDataRange))</f>
        <v>Test1</v>
      </c>
      <c r="AF13" s="31" t="str" cm="1">
        <f t="array" ref="AF13">_xlfn.XLOOKUP($A13,DataColumnRange,_xlfn.XLOOKUP(AF$1,dataRowRange,ActualDataRange))</f>
        <v>Test2</v>
      </c>
      <c r="AG13" s="31" t="str" cm="1">
        <f t="array" ref="AG13">_xlfn.XLOOKUP($A13,DataColumnRange,_xlfn.XLOOKUP(AG$1,dataRowRange,ActualDataRange))</f>
        <v>Atlanta</v>
      </c>
      <c r="AH13" s="31" t="str" cm="1">
        <f t="array" ref="AH13">_xlfn.XLOOKUP($A13,DataColumnRange,_xlfn.XLOOKUP(AH$1,dataRowRange,ActualDataRange))</f>
        <v>Georgia</v>
      </c>
      <c r="AI13" s="31" cm="1">
        <f t="array" ref="AI13">_xlfn.XLOOKUP($A13,DataColumnRange,_xlfn.XLOOKUP(AI$1,dataRowRange,ActualDataRange))</f>
        <v>55055</v>
      </c>
      <c r="AJ13" s="31" t="str" cm="1">
        <f t="array" ref="AJ13">_xlfn.XLOOKUP($A13,DataColumnRange,_xlfn.XLOOKUP(AJ$1,dataRowRange,ActualDataRange))</f>
        <v>171276181</v>
      </c>
      <c r="AK13" s="31" t="str" cm="1">
        <f t="array" ref="AK13">_xlfn.XLOOKUP($A13,DataColumnRange,_xlfn.XLOOKUP(AK$1,dataRowRange,ActualDataRange))</f>
        <v>International</v>
      </c>
      <c r="AL13" s="31" cm="1">
        <f t="array" ref="AL13">_xlfn.XLOOKUP($A13,DataColumnRange,_xlfn.XLOOKUP(AL$1,dataRowRange,ActualDataRange))</f>
        <v>0</v>
      </c>
    </row>
  </sheetData>
  <hyperlinks>
    <hyperlink ref="A1" location="TestCaseConfig!A1" display="Testcase" xr:uid="{434D7B8E-002B-1E42-AC61-6167854F48CC}"/>
    <hyperlink ref="D2" location="AdvBkngSTD!A1" display="AdvBkngSTD" xr:uid="{2644BA9F-1DBC-FF4D-9889-E4FEF50DC80C}"/>
    <hyperlink ref="D3:D7" location="AdvBkngSTD!A1" display="AdvBkngSTD" xr:uid="{D2FC89E3-B00F-5342-8EEC-3E661D5E41A9}"/>
    <hyperlink ref="D8:D13" location="AdvBkngSTD!A1" display="AdvBkngSTD" xr:uid="{C1B8F42B-547D-2044-8B0F-B0E72516199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0930-FE48-954E-9FFC-70384FD7E025}">
  <dimension ref="A1:AL5"/>
  <sheetViews>
    <sheetView zoomScale="110" workbookViewId="0">
      <selection activeCell="A11" sqref="A11"/>
    </sheetView>
  </sheetViews>
  <sheetFormatPr defaultColWidth="10.83203125" defaultRowHeight="15.5"/>
  <cols>
    <col min="1" max="1" width="102.5" style="11" bestFit="1" customWidth="1"/>
    <col min="2" max="2" width="16" style="11" bestFit="1" customWidth="1"/>
    <col min="3" max="3" width="23.33203125" style="11" bestFit="1" customWidth="1"/>
    <col min="4" max="4" width="25.58203125" style="11" bestFit="1" customWidth="1"/>
    <col min="5" max="5" width="23.83203125" style="11" bestFit="1" customWidth="1"/>
    <col min="6" max="10" width="10.83203125" style="11"/>
    <col min="11" max="11" width="24.5" style="11" bestFit="1" customWidth="1"/>
    <col min="12" max="12" width="18.33203125" style="28" bestFit="1" customWidth="1"/>
    <col min="13" max="16384" width="10.83203125" style="11"/>
  </cols>
  <sheetData>
    <row r="1" spans="1:38">
      <c r="A1" s="19" t="s">
        <v>134</v>
      </c>
      <c r="B1" s="20" t="s">
        <v>2</v>
      </c>
      <c r="C1" s="20" t="s">
        <v>24</v>
      </c>
      <c r="D1" s="20" t="s">
        <v>110</v>
      </c>
      <c r="E1" s="20" t="s">
        <v>122</v>
      </c>
      <c r="F1" s="20" t="s">
        <v>123</v>
      </c>
      <c r="G1" s="21" t="s">
        <v>101</v>
      </c>
      <c r="H1" s="20" t="s">
        <v>32</v>
      </c>
      <c r="I1" s="20" t="s">
        <v>140</v>
      </c>
      <c r="J1" s="20" t="s">
        <v>141</v>
      </c>
      <c r="K1" s="20" t="s">
        <v>211</v>
      </c>
      <c r="L1" s="27" t="s">
        <v>196</v>
      </c>
      <c r="M1" s="25" t="s">
        <v>146</v>
      </c>
      <c r="N1" s="20" t="s">
        <v>144</v>
      </c>
      <c r="O1" s="27" t="s">
        <v>150</v>
      </c>
      <c r="P1" s="20" t="s">
        <v>147</v>
      </c>
      <c r="Q1" s="20" t="s">
        <v>148</v>
      </c>
      <c r="R1" s="26" t="s">
        <v>149</v>
      </c>
      <c r="S1" s="20" t="s">
        <v>151</v>
      </c>
      <c r="T1" s="20" t="s">
        <v>5</v>
      </c>
      <c r="U1" s="20" t="s">
        <v>6</v>
      </c>
      <c r="V1" s="20" t="s">
        <v>7</v>
      </c>
      <c r="W1" s="20" t="s">
        <v>8</v>
      </c>
      <c r="X1" s="20" t="s">
        <v>10</v>
      </c>
      <c r="Y1" s="20" t="s">
        <v>56</v>
      </c>
      <c r="Z1" s="20" t="s">
        <v>59</v>
      </c>
      <c r="AA1" s="20" t="s">
        <v>11</v>
      </c>
      <c r="AB1" s="20" t="s">
        <v>12</v>
      </c>
      <c r="AC1" s="20" t="s">
        <v>13</v>
      </c>
      <c r="AD1" s="20" t="s">
        <v>40</v>
      </c>
      <c r="AE1" s="20" t="s">
        <v>153</v>
      </c>
      <c r="AF1" s="20" t="s">
        <v>154</v>
      </c>
      <c r="AG1" s="20" t="s">
        <v>155</v>
      </c>
      <c r="AH1" s="20" t="s">
        <v>156</v>
      </c>
      <c r="AI1" s="25" t="s">
        <v>157</v>
      </c>
      <c r="AJ1" s="20" t="s">
        <v>102</v>
      </c>
      <c r="AK1" s="20" t="s">
        <v>207</v>
      </c>
      <c r="AL1" s="20" t="s">
        <v>73</v>
      </c>
    </row>
    <row r="2" spans="1:38" ht="17" thickBot="1">
      <c r="A2" s="75" t="s">
        <v>383</v>
      </c>
      <c r="B2" s="33" t="s">
        <v>87</v>
      </c>
      <c r="C2" s="33" t="s">
        <v>185</v>
      </c>
      <c r="D2" s="24" t="str">
        <f>IF(TestCaseConfig!$B$3="Yes","Yes","No")</f>
        <v>Yes</v>
      </c>
      <c r="E2" s="31" t="str" cm="1">
        <f t="array" ref="E2">_xlfn.XLOOKUP($A2,DataColumnRange,_xlfn.XLOOKUP(E$1,dataRowRange,ActualDataRange))</f>
        <v>sumit.choudhary@delta.com</v>
      </c>
      <c r="F2" s="31" t="str" cm="1">
        <f t="array" ref="F2">_xlfn.XLOOKUP($A2,DataColumnRange,_xlfn.XLOOKUP(F$1,dataRowRange,ActualDataRange))</f>
        <v>Delta2</v>
      </c>
      <c r="G2" s="31" t="b" cm="1">
        <f t="array" ref="G2">_xlfn.XLOOKUP($A2,DataColumnRange,_xlfn.XLOOKUP(G$1,dataRowRange,ActualDataRange))</f>
        <v>1</v>
      </c>
      <c r="H2" s="31" t="str" cm="1">
        <f t="array" ref="H2">_xlfn.XLOOKUP($A2,DataColumnRange,_xlfn.XLOOKUP(H$1,dataRowRange,ActualDataRange))</f>
        <v>NA</v>
      </c>
      <c r="I2" s="31" t="str" cm="1">
        <f t="array" ref="I2">_xlfn.XLOOKUP($A2,DataColumnRange,_xlfn.XLOOKUP(I$1,dataRowRange,ActualDataRange))</f>
        <v>JFK</v>
      </c>
      <c r="J2" s="31" t="str" cm="1">
        <f t="array" ref="J2">_xlfn.XLOOKUP($A2,DataColumnRange,_xlfn.XLOOKUP(J$1,dataRowRange,ActualDataRange))</f>
        <v>ATL</v>
      </c>
      <c r="K2" s="31" t="str" cm="1">
        <f t="array" ref="K2">_xlfn.XLOOKUP($A2,DataColumnRange,_xlfn.XLOOKUP(K$1,dataRowRange,ActualDataRange))</f>
        <v>Value greater than 25,000 USD</v>
      </c>
      <c r="L2" s="31" t="str" cm="1">
        <f t="array" ref="L2">_xlfn.XLOOKUP($A2,DataColumnRange,_xlfn.XLOOKUP(L$1,dataRowRange,ActualDataRange))</f>
        <v>Test Valuables</v>
      </c>
      <c r="M2" s="31" cm="1">
        <f t="array" ref="M2">_xlfn.XLOOKUP($A2,DataColumnRange,_xlfn.XLOOKUP(M$1,dataRowRange,ActualDataRange))</f>
        <v>10</v>
      </c>
      <c r="N2" s="31" t="str" cm="1">
        <f t="array" ref="N2">_xlfn.XLOOKUP($A2,DataColumnRange,_xlfn.XLOOKUP(N$1,dataRowRange,ActualDataRange))</f>
        <v>LB</v>
      </c>
      <c r="O2" s="31" cm="1">
        <f t="array" ref="O2">_xlfn.XLOOKUP($A2,DataColumnRange,_xlfn.XLOOKUP(O$1,dataRowRange,ActualDataRange))</f>
        <v>1</v>
      </c>
      <c r="P2" s="31" cm="1">
        <f t="array" ref="P2">_xlfn.XLOOKUP($A2,DataColumnRange,_xlfn.XLOOKUP(P$1,dataRowRange,ActualDataRange))</f>
        <v>10</v>
      </c>
      <c r="Q2" s="31" cm="1">
        <f t="array" ref="Q2">_xlfn.XLOOKUP($A2,DataColumnRange,_xlfn.XLOOKUP(Q$1,dataRowRange,ActualDataRange))</f>
        <v>10</v>
      </c>
      <c r="R2" s="31" cm="1">
        <f t="array" ref="R2">_xlfn.XLOOKUP($A2,DataColumnRange,_xlfn.XLOOKUP(R$1,dataRowRange,ActualDataRange))</f>
        <v>10</v>
      </c>
      <c r="S2" s="31" t="str" cm="1">
        <f t="array" ref="S2">_xlfn.XLOOKUP($A2,DataColumnRange,_xlfn.XLOOKUP(S$1,dataRowRange,ActualDataRange))</f>
        <v>IN</v>
      </c>
      <c r="T2" s="31" t="str" cm="1">
        <f t="array" ref="T2">_xlfn.XLOOKUP($A2,DataColumnRange,_xlfn.XLOOKUP(T$1,dataRowRange,ActualDataRange))</f>
        <v>Cubic Feet</v>
      </c>
      <c r="U2" s="31" t="str" cm="1">
        <f t="array" ref="U2">_xlfn.XLOOKUP($A2,DataColumnRange,_xlfn.XLOOKUP(U$1,dataRowRange,ActualDataRange))</f>
        <v>No</v>
      </c>
      <c r="V2" s="31" t="str" cm="1">
        <f t="array" ref="V2">_xlfn.XLOOKUP($A2,DataColumnRange,_xlfn.XLOOKUP(V$1,dataRowRange,ActualDataRange))</f>
        <v>No</v>
      </c>
      <c r="W2" s="31" t="str" cm="1">
        <f t="array" ref="W2">_xlfn.XLOOKUP($A2,DataColumnRange,_xlfn.XLOOKUP(W$1,dataRowRange,ActualDataRange))</f>
        <v>No</v>
      </c>
      <c r="X2" s="31" cm="1">
        <f t="array" ref="X2">_xlfn.XLOOKUP($A2,DataColumnRange,_xlfn.XLOOKUP(X$1,dataRowRange,ActualDataRange))</f>
        <v>2</v>
      </c>
      <c r="Y2" s="31" t="str" cm="1">
        <f t="array" ref="Y2">_xlfn.XLOOKUP($A2,DataColumnRange,_xlfn.XLOOKUP(Y$1,dataRowRange,ActualDataRange))</f>
        <v>No</v>
      </c>
      <c r="Z2" s="31" t="str" cm="1">
        <f t="array" ref="Z2">_xlfn.XLOOKUP($A2,DataColumnRange,_xlfn.XLOOKUP(Z$1,dataRowRange,ActualDataRange))</f>
        <v>NA</v>
      </c>
      <c r="AA2" s="31" t="str" cm="1">
        <f t="array" ref="AA2">_xlfn.XLOOKUP($A2,DataColumnRange,_xlfn.XLOOKUP(AA$1,dataRowRange,ActualDataRange))</f>
        <v>000260018</v>
      </c>
      <c r="AB2" s="31" t="str" cm="1">
        <f t="array" ref="AB2">_xlfn.XLOOKUP($A2,DataColumnRange,_xlfn.XLOOKUP(AB$1,dataRowRange,ActualDataRange))</f>
        <v>GeneralCargoTemplate</v>
      </c>
      <c r="AC2" s="31" t="str" cm="1">
        <f t="array" ref="AC2">_xlfn.XLOOKUP($A2,DataColumnRange,_xlfn.XLOOKUP(AC$1,dataRowRange,ActualDataRange))</f>
        <v>CreditCard</v>
      </c>
      <c r="AD2" s="31" t="str" cm="1">
        <f t="array" ref="AD2">_xlfn.XLOOKUP($A2,DataColumnRange,_xlfn.XLOOKUP(AD$1,dataRowRange,ActualDataRange))</f>
        <v>NA</v>
      </c>
      <c r="AE2" s="31" t="str" cm="1">
        <f t="array" ref="AE2">_xlfn.XLOOKUP($A2,DataColumnRange,_xlfn.XLOOKUP(AE$1,dataRowRange,ActualDataRange))</f>
        <v>Test1</v>
      </c>
      <c r="AF2" s="31" t="str" cm="1">
        <f t="array" ref="AF2">_xlfn.XLOOKUP($A2,DataColumnRange,_xlfn.XLOOKUP(AF$1,dataRowRange,ActualDataRange))</f>
        <v>Test2</v>
      </c>
      <c r="AG2" s="31" t="str" cm="1">
        <f t="array" ref="AG2">_xlfn.XLOOKUP($A2,DataColumnRange,_xlfn.XLOOKUP(AG$1,dataRowRange,ActualDataRange))</f>
        <v>Atlanta</v>
      </c>
      <c r="AH2" s="31" t="str" cm="1">
        <f t="array" ref="AH2">_xlfn.XLOOKUP($A2,DataColumnRange,_xlfn.XLOOKUP(AH$1,dataRowRange,ActualDataRange))</f>
        <v>Georgia</v>
      </c>
      <c r="AI2" s="31" cm="1">
        <f t="array" ref="AI2">_xlfn.XLOOKUP($A2,DataColumnRange,_xlfn.XLOOKUP(AI$1,dataRowRange,ActualDataRange))</f>
        <v>55055</v>
      </c>
      <c r="AJ2" s="31" t="str" cm="1">
        <f t="array" ref="AJ2">_xlfn.XLOOKUP($A2,DataColumnRange,_xlfn.XLOOKUP(AJ$1,dataRowRange,ActualDataRange))</f>
        <v>000075010</v>
      </c>
      <c r="AK2" s="31" t="str" cm="1">
        <f t="array" ref="AK2">_xlfn.XLOOKUP($A2,DataColumnRange,_xlfn.XLOOKUP(AK$1,dataRowRange,ActualDataRange))</f>
        <v>Domestic</v>
      </c>
      <c r="AL2" s="31" cm="1">
        <f t="array" ref="AL2">_xlfn.XLOOKUP($A2,DataColumnRange,_xlfn.XLOOKUP(AL$1,dataRowRange,ActualDataRange))</f>
        <v>0</v>
      </c>
    </row>
    <row r="3" spans="1:38" ht="17" thickBot="1">
      <c r="A3" s="75" t="s">
        <v>384</v>
      </c>
      <c r="B3" s="33" t="s">
        <v>87</v>
      </c>
      <c r="C3" s="33" t="s">
        <v>185</v>
      </c>
      <c r="D3" s="24" t="str">
        <f>IF(TestCaseConfig!$B$3="Yes","Yes","No")</f>
        <v>Yes</v>
      </c>
      <c r="E3" s="31" t="str" cm="1">
        <f t="array" ref="E3">_xlfn.XLOOKUP($A3,DataColumnRange,_xlfn.XLOOKUP(E$1,dataRowRange,ActualDataRange))</f>
        <v>sumit.choudhary@delta.com</v>
      </c>
      <c r="F3" s="31" t="str" cm="1">
        <f t="array" ref="F3">_xlfn.XLOOKUP($A3,DataColumnRange,_xlfn.XLOOKUP(F$1,dataRowRange,ActualDataRange))</f>
        <v>Delta2</v>
      </c>
      <c r="G3" s="31" t="b" cm="1">
        <f t="array" ref="G3">_xlfn.XLOOKUP($A3,DataColumnRange,_xlfn.XLOOKUP(G$1,dataRowRange,ActualDataRange))</f>
        <v>1</v>
      </c>
      <c r="H3" s="31" t="str" cm="1">
        <f t="array" ref="H3">_xlfn.XLOOKUP($A3,DataColumnRange,_xlfn.XLOOKUP(H$1,dataRowRange,ActualDataRange))</f>
        <v>NA</v>
      </c>
      <c r="I3" s="31" t="str" cm="1">
        <f t="array" ref="I3">_xlfn.XLOOKUP($A3,DataColumnRange,_xlfn.XLOOKUP(I$1,dataRowRange,ActualDataRange))</f>
        <v>JFK</v>
      </c>
      <c r="J3" s="31" t="str" cm="1">
        <f t="array" ref="J3">_xlfn.XLOOKUP($A3,DataColumnRange,_xlfn.XLOOKUP(J$1,dataRowRange,ActualDataRange))</f>
        <v>ATL</v>
      </c>
      <c r="K3" s="31" t="str" cm="1">
        <f t="array" ref="K3">_xlfn.XLOOKUP($A3,DataColumnRange,_xlfn.XLOOKUP(K$1,dataRowRange,ActualDataRange))</f>
        <v>Value less than 25,000 USD</v>
      </c>
      <c r="L3" s="31" t="str" cm="1">
        <f t="array" ref="L3">_xlfn.XLOOKUP($A3,DataColumnRange,_xlfn.XLOOKUP(L$1,dataRowRange,ActualDataRange))</f>
        <v>Test Valuables</v>
      </c>
      <c r="M3" s="31" cm="1">
        <f t="array" ref="M3">_xlfn.XLOOKUP($A3,DataColumnRange,_xlfn.XLOOKUP(M$1,dataRowRange,ActualDataRange))</f>
        <v>10</v>
      </c>
      <c r="N3" s="31" t="str" cm="1">
        <f t="array" ref="N3">_xlfn.XLOOKUP($A3,DataColumnRange,_xlfn.XLOOKUP(N$1,dataRowRange,ActualDataRange))</f>
        <v>LB</v>
      </c>
      <c r="O3" s="31" cm="1">
        <f t="array" ref="O3">_xlfn.XLOOKUP($A3,DataColumnRange,_xlfn.XLOOKUP(O$1,dataRowRange,ActualDataRange))</f>
        <v>1</v>
      </c>
      <c r="P3" s="31" cm="1">
        <f t="array" ref="P3">_xlfn.XLOOKUP($A3,DataColumnRange,_xlfn.XLOOKUP(P$1,dataRowRange,ActualDataRange))</f>
        <v>10</v>
      </c>
      <c r="Q3" s="31" cm="1">
        <f t="array" ref="Q3">_xlfn.XLOOKUP($A3,DataColumnRange,_xlfn.XLOOKUP(Q$1,dataRowRange,ActualDataRange))</f>
        <v>10</v>
      </c>
      <c r="R3" s="31" cm="1">
        <f t="array" ref="R3">_xlfn.XLOOKUP($A3,DataColumnRange,_xlfn.XLOOKUP(R$1,dataRowRange,ActualDataRange))</f>
        <v>10</v>
      </c>
      <c r="S3" s="31" t="str" cm="1">
        <f t="array" ref="S3">_xlfn.XLOOKUP($A3,DataColumnRange,_xlfn.XLOOKUP(S$1,dataRowRange,ActualDataRange))</f>
        <v>IN</v>
      </c>
      <c r="T3" s="31" t="str" cm="1">
        <f t="array" ref="T3">_xlfn.XLOOKUP($A3,DataColumnRange,_xlfn.XLOOKUP(T$1,dataRowRange,ActualDataRange))</f>
        <v>Cubic Feet</v>
      </c>
      <c r="U3" s="31" t="str" cm="1">
        <f t="array" ref="U3">_xlfn.XLOOKUP($A3,DataColumnRange,_xlfn.XLOOKUP(U$1,dataRowRange,ActualDataRange))</f>
        <v>No</v>
      </c>
      <c r="V3" s="31" t="str" cm="1">
        <f t="array" ref="V3">_xlfn.XLOOKUP($A3,DataColumnRange,_xlfn.XLOOKUP(V$1,dataRowRange,ActualDataRange))</f>
        <v>No</v>
      </c>
      <c r="W3" s="31" t="str" cm="1">
        <f t="array" ref="W3">_xlfn.XLOOKUP($A3,DataColumnRange,_xlfn.XLOOKUP(W$1,dataRowRange,ActualDataRange))</f>
        <v>No</v>
      </c>
      <c r="X3" s="31" cm="1">
        <f t="array" ref="X3">_xlfn.XLOOKUP($A3,DataColumnRange,_xlfn.XLOOKUP(X$1,dataRowRange,ActualDataRange))</f>
        <v>2</v>
      </c>
      <c r="Y3" s="31" t="str" cm="1">
        <f t="array" ref="Y3">_xlfn.XLOOKUP($A3,DataColumnRange,_xlfn.XLOOKUP(Y$1,dataRowRange,ActualDataRange))</f>
        <v>No</v>
      </c>
      <c r="Z3" s="31" t="str" cm="1">
        <f t="array" ref="Z3">_xlfn.XLOOKUP($A3,DataColumnRange,_xlfn.XLOOKUP(Z$1,dataRowRange,ActualDataRange))</f>
        <v>NA</v>
      </c>
      <c r="AA3" s="31" t="str" cm="1">
        <f t="array" ref="AA3">_xlfn.XLOOKUP($A3,DataColumnRange,_xlfn.XLOOKUP(AA$1,dataRowRange,ActualDataRange))</f>
        <v>000260018</v>
      </c>
      <c r="AB3" s="31" t="str" cm="1">
        <f t="array" ref="AB3">_xlfn.XLOOKUP($A3,DataColumnRange,_xlfn.XLOOKUP(AB$1,dataRowRange,ActualDataRange))</f>
        <v>GeneralCargoTemplate</v>
      </c>
      <c r="AC3" s="31" t="str" cm="1">
        <f t="array" ref="AC3">_xlfn.XLOOKUP($A3,DataColumnRange,_xlfn.XLOOKUP(AC$1,dataRowRange,ActualDataRange))</f>
        <v>CreditCard</v>
      </c>
      <c r="AD3" s="31" t="str" cm="1">
        <f t="array" ref="AD3">_xlfn.XLOOKUP($A3,DataColumnRange,_xlfn.XLOOKUP(AD$1,dataRowRange,ActualDataRange))</f>
        <v>NA</v>
      </c>
      <c r="AE3" s="31" t="str" cm="1">
        <f t="array" ref="AE3">_xlfn.XLOOKUP($A3,DataColumnRange,_xlfn.XLOOKUP(AE$1,dataRowRange,ActualDataRange))</f>
        <v>Test1</v>
      </c>
      <c r="AF3" s="31" t="str" cm="1">
        <f t="array" ref="AF3">_xlfn.XLOOKUP($A3,DataColumnRange,_xlfn.XLOOKUP(AF$1,dataRowRange,ActualDataRange))</f>
        <v>Test2</v>
      </c>
      <c r="AG3" s="31" t="str" cm="1">
        <f t="array" ref="AG3">_xlfn.XLOOKUP($A3,DataColumnRange,_xlfn.XLOOKUP(AG$1,dataRowRange,ActualDataRange))</f>
        <v>Atlanta</v>
      </c>
      <c r="AH3" s="31" t="str" cm="1">
        <f t="array" ref="AH3">_xlfn.XLOOKUP($A3,DataColumnRange,_xlfn.XLOOKUP(AH$1,dataRowRange,ActualDataRange))</f>
        <v>Georgia</v>
      </c>
      <c r="AI3" s="31" cm="1">
        <f t="array" ref="AI3">_xlfn.XLOOKUP($A3,DataColumnRange,_xlfn.XLOOKUP(AI$1,dataRowRange,ActualDataRange))</f>
        <v>55055</v>
      </c>
      <c r="AJ3" s="31" t="str" cm="1">
        <f t="array" ref="AJ3">_xlfn.XLOOKUP($A3,DataColumnRange,_xlfn.XLOOKUP(AJ$1,dataRowRange,ActualDataRange))</f>
        <v>000075010</v>
      </c>
      <c r="AK3" s="31" t="str" cm="1">
        <f t="array" ref="AK3">_xlfn.XLOOKUP($A3,DataColumnRange,_xlfn.XLOOKUP(AK$1,dataRowRange,ActualDataRange))</f>
        <v>Domestic</v>
      </c>
      <c r="AL3" s="31" cm="1">
        <f t="array" ref="AL3">_xlfn.XLOOKUP($A3,DataColumnRange,_xlfn.XLOOKUP(AL$1,dataRowRange,ActualDataRange))</f>
        <v>0</v>
      </c>
    </row>
    <row r="4" spans="1:38" ht="17" thickBot="1">
      <c r="A4" s="75" t="s">
        <v>385</v>
      </c>
      <c r="B4" s="33" t="s">
        <v>87</v>
      </c>
      <c r="C4" s="33" t="s">
        <v>185</v>
      </c>
      <c r="D4" s="24" t="str">
        <f>IF(TestCaseConfig!$B$3="Yes","Yes","No")</f>
        <v>Yes</v>
      </c>
      <c r="E4" s="31" t="str" cm="1">
        <f t="array" ref="E4">_xlfn.XLOOKUP($A4,DataColumnRange,_xlfn.XLOOKUP(E$1,dataRowRange,ActualDataRange))</f>
        <v>sumit.choudhary@delta.com</v>
      </c>
      <c r="F4" s="31" t="str" cm="1">
        <f t="array" ref="F4">_xlfn.XLOOKUP($A4,DataColumnRange,_xlfn.XLOOKUP(F$1,dataRowRange,ActualDataRange))</f>
        <v>Delta2</v>
      </c>
      <c r="G4" s="31" t="b" cm="1">
        <f t="array" ref="G4">_xlfn.XLOOKUP($A4,DataColumnRange,_xlfn.XLOOKUP(G$1,dataRowRange,ActualDataRange))</f>
        <v>1</v>
      </c>
      <c r="H4" s="31" t="str" cm="1">
        <f t="array" ref="H4">_xlfn.XLOOKUP($A4,DataColumnRange,_xlfn.XLOOKUP(H$1,dataRowRange,ActualDataRange))</f>
        <v>NA</v>
      </c>
      <c r="I4" s="31" t="str" cm="1">
        <f t="array" ref="I4">_xlfn.XLOOKUP($A4,DataColumnRange,_xlfn.XLOOKUP(I$1,dataRowRange,ActualDataRange))</f>
        <v>JFK</v>
      </c>
      <c r="J4" s="31" t="str" cm="1">
        <f t="array" ref="J4">_xlfn.XLOOKUP($A4,DataColumnRange,_xlfn.XLOOKUP(J$1,dataRowRange,ActualDataRange))</f>
        <v>ATL</v>
      </c>
      <c r="K4" s="31" t="str" cm="1">
        <f t="array" ref="K4">_xlfn.XLOOKUP($A4,DataColumnRange,_xlfn.XLOOKUP(K$1,dataRowRange,ActualDataRange))</f>
        <v>Value greater than 25,000 USD</v>
      </c>
      <c r="L4" s="31" t="str" cm="1">
        <f t="array" ref="L4">_xlfn.XLOOKUP($A4,DataColumnRange,_xlfn.XLOOKUP(L$1,dataRowRange,ActualDataRange))</f>
        <v>Test Valuables</v>
      </c>
      <c r="M4" s="31" cm="1">
        <f t="array" ref="M4">_xlfn.XLOOKUP($A4,DataColumnRange,_xlfn.XLOOKUP(M$1,dataRowRange,ActualDataRange))</f>
        <v>10</v>
      </c>
      <c r="N4" s="31" t="str" cm="1">
        <f t="array" ref="N4">_xlfn.XLOOKUP($A4,DataColumnRange,_xlfn.XLOOKUP(N$1,dataRowRange,ActualDataRange))</f>
        <v>LB</v>
      </c>
      <c r="O4" s="31" cm="1">
        <f t="array" ref="O4">_xlfn.XLOOKUP($A4,DataColumnRange,_xlfn.XLOOKUP(O$1,dataRowRange,ActualDataRange))</f>
        <v>1</v>
      </c>
      <c r="P4" s="31" cm="1">
        <f t="array" ref="P4">_xlfn.XLOOKUP($A4,DataColumnRange,_xlfn.XLOOKUP(P$1,dataRowRange,ActualDataRange))</f>
        <v>10</v>
      </c>
      <c r="Q4" s="31" cm="1">
        <f t="array" ref="Q4">_xlfn.XLOOKUP($A4,DataColumnRange,_xlfn.XLOOKUP(Q$1,dataRowRange,ActualDataRange))</f>
        <v>10</v>
      </c>
      <c r="R4" s="31" cm="1">
        <f t="array" ref="R4">_xlfn.XLOOKUP($A4,DataColumnRange,_xlfn.XLOOKUP(R$1,dataRowRange,ActualDataRange))</f>
        <v>10</v>
      </c>
      <c r="S4" s="31" t="str" cm="1">
        <f t="array" ref="S4">_xlfn.XLOOKUP($A4,DataColumnRange,_xlfn.XLOOKUP(S$1,dataRowRange,ActualDataRange))</f>
        <v>IN</v>
      </c>
      <c r="T4" s="31" t="str" cm="1">
        <f t="array" ref="T4">_xlfn.XLOOKUP($A4,DataColumnRange,_xlfn.XLOOKUP(T$1,dataRowRange,ActualDataRange))</f>
        <v>Cubic Feet</v>
      </c>
      <c r="U4" s="31" t="str" cm="1">
        <f t="array" ref="U4">_xlfn.XLOOKUP($A4,DataColumnRange,_xlfn.XLOOKUP(U$1,dataRowRange,ActualDataRange))</f>
        <v>No</v>
      </c>
      <c r="V4" s="31" t="str" cm="1">
        <f t="array" ref="V4">_xlfn.XLOOKUP($A4,DataColumnRange,_xlfn.XLOOKUP(V$1,dataRowRange,ActualDataRange))</f>
        <v>No</v>
      </c>
      <c r="W4" s="31" t="str" cm="1">
        <f t="array" ref="W4">_xlfn.XLOOKUP($A4,DataColumnRange,_xlfn.XLOOKUP(W$1,dataRowRange,ActualDataRange))</f>
        <v>No</v>
      </c>
      <c r="X4" s="31" cm="1">
        <f t="array" ref="X4">_xlfn.XLOOKUP($A4,DataColumnRange,_xlfn.XLOOKUP(X$1,dataRowRange,ActualDataRange))</f>
        <v>2</v>
      </c>
      <c r="Y4" s="31" t="str" cm="1">
        <f t="array" ref="Y4">_xlfn.XLOOKUP($A4,DataColumnRange,_xlfn.XLOOKUP(Y$1,dataRowRange,ActualDataRange))</f>
        <v>No</v>
      </c>
      <c r="Z4" s="31" t="str" cm="1">
        <f t="array" ref="Z4">_xlfn.XLOOKUP($A4,DataColumnRange,_xlfn.XLOOKUP(Z$1,dataRowRange,ActualDataRange))</f>
        <v>NA</v>
      </c>
      <c r="AA4" s="31" t="str" cm="1">
        <f t="array" ref="AA4">_xlfn.XLOOKUP($A4,DataColumnRange,_xlfn.XLOOKUP(AA$1,dataRowRange,ActualDataRange))</f>
        <v>000260018</v>
      </c>
      <c r="AB4" s="31" t="str" cm="1">
        <f t="array" ref="AB4">_xlfn.XLOOKUP($A4,DataColumnRange,_xlfn.XLOOKUP(AB$1,dataRowRange,ActualDataRange))</f>
        <v>GeneralCargoTemplate</v>
      </c>
      <c r="AC4" s="31" t="str" cm="1">
        <f t="array" ref="AC4">_xlfn.XLOOKUP($A4,DataColumnRange,_xlfn.XLOOKUP(AC$1,dataRowRange,ActualDataRange))</f>
        <v>CreditCard</v>
      </c>
      <c r="AD4" s="31" t="str" cm="1">
        <f t="array" ref="AD4">_xlfn.XLOOKUP($A4,DataColumnRange,_xlfn.XLOOKUP(AD$1,dataRowRange,ActualDataRange))</f>
        <v>NA</v>
      </c>
      <c r="AE4" s="31" t="str" cm="1">
        <f t="array" ref="AE4">_xlfn.XLOOKUP($A4,DataColumnRange,_xlfn.XLOOKUP(AE$1,dataRowRange,ActualDataRange))</f>
        <v>Test1</v>
      </c>
      <c r="AF4" s="31" t="str" cm="1">
        <f t="array" ref="AF4">_xlfn.XLOOKUP($A4,DataColumnRange,_xlfn.XLOOKUP(AF$1,dataRowRange,ActualDataRange))</f>
        <v>Test2</v>
      </c>
      <c r="AG4" s="31" t="str" cm="1">
        <f t="array" ref="AG4">_xlfn.XLOOKUP($A4,DataColumnRange,_xlfn.XLOOKUP(AG$1,dataRowRange,ActualDataRange))</f>
        <v>Atlanta</v>
      </c>
      <c r="AH4" s="31" t="str" cm="1">
        <f t="array" ref="AH4">_xlfn.XLOOKUP($A4,DataColumnRange,_xlfn.XLOOKUP(AH$1,dataRowRange,ActualDataRange))</f>
        <v>Georgia</v>
      </c>
      <c r="AI4" s="31" cm="1">
        <f t="array" ref="AI4">_xlfn.XLOOKUP($A4,DataColumnRange,_xlfn.XLOOKUP(AI$1,dataRowRange,ActualDataRange))</f>
        <v>55055</v>
      </c>
      <c r="AJ4" s="31" t="str" cm="1">
        <f t="array" ref="AJ4">_xlfn.XLOOKUP($A4,DataColumnRange,_xlfn.XLOOKUP(AJ$1,dataRowRange,ActualDataRange))</f>
        <v>171276181</v>
      </c>
      <c r="AK4" s="31" t="str" cm="1">
        <f t="array" ref="AK4">_xlfn.XLOOKUP($A4,DataColumnRange,_xlfn.XLOOKUP(AK$1,dataRowRange,ActualDataRange))</f>
        <v>International</v>
      </c>
      <c r="AL4" s="31" cm="1">
        <f t="array" ref="AL4">_xlfn.XLOOKUP($A4,DataColumnRange,_xlfn.XLOOKUP(AL$1,dataRowRange,ActualDataRange))</f>
        <v>0</v>
      </c>
    </row>
    <row r="5" spans="1:38" ht="17" thickBot="1">
      <c r="A5" s="75" t="s">
        <v>386</v>
      </c>
      <c r="B5" s="33" t="s">
        <v>87</v>
      </c>
      <c r="C5" s="33" t="s">
        <v>185</v>
      </c>
      <c r="D5" s="24" t="str">
        <f>IF(TestCaseConfig!$B$3="Yes","Yes","No")</f>
        <v>Yes</v>
      </c>
      <c r="E5" s="31" t="str" cm="1">
        <f t="array" ref="E5">_xlfn.XLOOKUP($A5,DataColumnRange,_xlfn.XLOOKUP(E$1,dataRowRange,ActualDataRange))</f>
        <v>sumit.choudhary@delta.com</v>
      </c>
      <c r="F5" s="31" t="str" cm="1">
        <f t="array" ref="F5">_xlfn.XLOOKUP($A5,DataColumnRange,_xlfn.XLOOKUP(F$1,dataRowRange,ActualDataRange))</f>
        <v>Delta2</v>
      </c>
      <c r="G5" s="31" t="b" cm="1">
        <f t="array" ref="G5">_xlfn.XLOOKUP($A5,DataColumnRange,_xlfn.XLOOKUP(G$1,dataRowRange,ActualDataRange))</f>
        <v>1</v>
      </c>
      <c r="H5" s="31" t="str" cm="1">
        <f t="array" ref="H5">_xlfn.XLOOKUP($A5,DataColumnRange,_xlfn.XLOOKUP(H$1,dataRowRange,ActualDataRange))</f>
        <v>NA</v>
      </c>
      <c r="I5" s="31" t="str" cm="1">
        <f t="array" ref="I5">_xlfn.XLOOKUP($A5,DataColumnRange,_xlfn.XLOOKUP(I$1,dataRowRange,ActualDataRange))</f>
        <v>JFK</v>
      </c>
      <c r="J5" s="31" t="str" cm="1">
        <f t="array" ref="J5">_xlfn.XLOOKUP($A5,DataColumnRange,_xlfn.XLOOKUP(J$1,dataRowRange,ActualDataRange))</f>
        <v>ATL</v>
      </c>
      <c r="K5" s="31" t="str" cm="1">
        <f t="array" ref="K5">_xlfn.XLOOKUP($A5,DataColumnRange,_xlfn.XLOOKUP(K$1,dataRowRange,ActualDataRange))</f>
        <v>Value less than 25,000 USD</v>
      </c>
      <c r="L5" s="31" t="str" cm="1">
        <f t="array" ref="L5">_xlfn.XLOOKUP($A5,DataColumnRange,_xlfn.XLOOKUP(L$1,dataRowRange,ActualDataRange))</f>
        <v>Test Valuables</v>
      </c>
      <c r="M5" s="31" cm="1">
        <f t="array" ref="M5">_xlfn.XLOOKUP($A5,DataColumnRange,_xlfn.XLOOKUP(M$1,dataRowRange,ActualDataRange))</f>
        <v>10</v>
      </c>
      <c r="N5" s="31" t="str" cm="1">
        <f t="array" ref="N5">_xlfn.XLOOKUP($A5,DataColumnRange,_xlfn.XLOOKUP(N$1,dataRowRange,ActualDataRange))</f>
        <v>LB</v>
      </c>
      <c r="O5" s="31" cm="1">
        <f t="array" ref="O5">_xlfn.XLOOKUP($A5,DataColumnRange,_xlfn.XLOOKUP(O$1,dataRowRange,ActualDataRange))</f>
        <v>1</v>
      </c>
      <c r="P5" s="31" cm="1">
        <f t="array" ref="P5">_xlfn.XLOOKUP($A5,DataColumnRange,_xlfn.XLOOKUP(P$1,dataRowRange,ActualDataRange))</f>
        <v>10</v>
      </c>
      <c r="Q5" s="31" cm="1">
        <f t="array" ref="Q5">_xlfn.XLOOKUP($A5,DataColumnRange,_xlfn.XLOOKUP(Q$1,dataRowRange,ActualDataRange))</f>
        <v>10</v>
      </c>
      <c r="R5" s="31" cm="1">
        <f t="array" ref="R5">_xlfn.XLOOKUP($A5,DataColumnRange,_xlfn.XLOOKUP(R$1,dataRowRange,ActualDataRange))</f>
        <v>10</v>
      </c>
      <c r="S5" s="31" t="str" cm="1">
        <f t="array" ref="S5">_xlfn.XLOOKUP($A5,DataColumnRange,_xlfn.XLOOKUP(S$1,dataRowRange,ActualDataRange))</f>
        <v>IN</v>
      </c>
      <c r="T5" s="31" t="str" cm="1">
        <f t="array" ref="T5">_xlfn.XLOOKUP($A5,DataColumnRange,_xlfn.XLOOKUP(T$1,dataRowRange,ActualDataRange))</f>
        <v>Cubic Feet</v>
      </c>
      <c r="U5" s="31" t="str" cm="1">
        <f t="array" ref="U5">_xlfn.XLOOKUP($A5,DataColumnRange,_xlfn.XLOOKUP(U$1,dataRowRange,ActualDataRange))</f>
        <v>No</v>
      </c>
      <c r="V5" s="31" t="str" cm="1">
        <f t="array" ref="V5">_xlfn.XLOOKUP($A5,DataColumnRange,_xlfn.XLOOKUP(V$1,dataRowRange,ActualDataRange))</f>
        <v>No</v>
      </c>
      <c r="W5" s="31" t="str" cm="1">
        <f t="array" ref="W5">_xlfn.XLOOKUP($A5,DataColumnRange,_xlfn.XLOOKUP(W$1,dataRowRange,ActualDataRange))</f>
        <v>No</v>
      </c>
      <c r="X5" s="31" cm="1">
        <f t="array" ref="X5">_xlfn.XLOOKUP($A5,DataColumnRange,_xlfn.XLOOKUP(X$1,dataRowRange,ActualDataRange))</f>
        <v>2</v>
      </c>
      <c r="Y5" s="31" t="str" cm="1">
        <f t="array" ref="Y5">_xlfn.XLOOKUP($A5,DataColumnRange,_xlfn.XLOOKUP(Y$1,dataRowRange,ActualDataRange))</f>
        <v>No</v>
      </c>
      <c r="Z5" s="31" t="str" cm="1">
        <f t="array" ref="Z5">_xlfn.XLOOKUP($A5,DataColumnRange,_xlfn.XLOOKUP(Z$1,dataRowRange,ActualDataRange))</f>
        <v>NA</v>
      </c>
      <c r="AA5" s="31" t="str" cm="1">
        <f t="array" ref="AA5">_xlfn.XLOOKUP($A5,DataColumnRange,_xlfn.XLOOKUP(AA$1,dataRowRange,ActualDataRange))</f>
        <v>000260018</v>
      </c>
      <c r="AB5" s="31" t="str" cm="1">
        <f t="array" ref="AB5">_xlfn.XLOOKUP($A5,DataColumnRange,_xlfn.XLOOKUP(AB$1,dataRowRange,ActualDataRange))</f>
        <v>GeneralCargoTemplate</v>
      </c>
      <c r="AC5" s="31" t="str" cm="1">
        <f t="array" ref="AC5">_xlfn.XLOOKUP($A5,DataColumnRange,_xlfn.XLOOKUP(AC$1,dataRowRange,ActualDataRange))</f>
        <v>CreditCard</v>
      </c>
      <c r="AD5" s="31" t="str" cm="1">
        <f t="array" ref="AD5">_xlfn.XLOOKUP($A5,DataColumnRange,_xlfn.XLOOKUP(AD$1,dataRowRange,ActualDataRange))</f>
        <v>NA</v>
      </c>
      <c r="AE5" s="31" t="str" cm="1">
        <f t="array" ref="AE5">_xlfn.XLOOKUP($A5,DataColumnRange,_xlfn.XLOOKUP(AE$1,dataRowRange,ActualDataRange))</f>
        <v>Test1</v>
      </c>
      <c r="AF5" s="31" t="str" cm="1">
        <f t="array" ref="AF5">_xlfn.XLOOKUP($A5,DataColumnRange,_xlfn.XLOOKUP(AF$1,dataRowRange,ActualDataRange))</f>
        <v>Test2</v>
      </c>
      <c r="AG5" s="31" t="str" cm="1">
        <f t="array" ref="AG5">_xlfn.XLOOKUP($A5,DataColumnRange,_xlfn.XLOOKUP(AG$1,dataRowRange,ActualDataRange))</f>
        <v>Atlanta</v>
      </c>
      <c r="AH5" s="31" t="str" cm="1">
        <f t="array" ref="AH5">_xlfn.XLOOKUP($A5,DataColumnRange,_xlfn.XLOOKUP(AH$1,dataRowRange,ActualDataRange))</f>
        <v>Georgia</v>
      </c>
      <c r="AI5" s="31" cm="1">
        <f t="array" ref="AI5">_xlfn.XLOOKUP($A5,DataColumnRange,_xlfn.XLOOKUP(AI$1,dataRowRange,ActualDataRange))</f>
        <v>55055</v>
      </c>
      <c r="AJ5" s="31" t="str" cm="1">
        <f t="array" ref="AJ5">_xlfn.XLOOKUP($A5,DataColumnRange,_xlfn.XLOOKUP(AJ$1,dataRowRange,ActualDataRange))</f>
        <v>171276181</v>
      </c>
      <c r="AK5" s="31" t="str" cm="1">
        <f t="array" ref="AK5">_xlfn.XLOOKUP($A5,DataColumnRange,_xlfn.XLOOKUP(AK$1,dataRowRange,ActualDataRange))</f>
        <v>International</v>
      </c>
      <c r="AL5" s="31" cm="1">
        <f t="array" ref="AL5">_xlfn.XLOOKUP($A5,DataColumnRange,_xlfn.XLOOKUP(AL$1,dataRowRange,ActualDataRange))</f>
        <v>0</v>
      </c>
    </row>
  </sheetData>
  <hyperlinks>
    <hyperlink ref="A1" location="TestCaseConfig!A1" display="Testcase" xr:uid="{67E36427-5CDC-9E43-A9C1-4F3426A63CC0}"/>
    <hyperlink ref="D2" location="AdvBkngSTD!A1" display="AdvBkngSTD" xr:uid="{E64072F3-CF51-D748-A961-18B428797EA8}"/>
    <hyperlink ref="D3:D5" location="AdvBkngSTD!A1" display="AdvBkngSTD" xr:uid="{44DD5C22-0D0E-FF40-8FB2-7010FD605ED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4645-B80F-0D4E-B109-C05D67A154E2}">
  <dimension ref="A1:AL7"/>
  <sheetViews>
    <sheetView zoomScale="126" zoomScaleNormal="126" workbookViewId="0">
      <selection activeCell="A15" sqref="A15"/>
    </sheetView>
  </sheetViews>
  <sheetFormatPr defaultColWidth="10.83203125" defaultRowHeight="15.5"/>
  <cols>
    <col min="1" max="1" width="106.33203125" style="11" bestFit="1" customWidth="1"/>
    <col min="2" max="2" width="17.33203125" style="11" bestFit="1" customWidth="1"/>
    <col min="3" max="3" width="23.33203125" style="11" bestFit="1" customWidth="1"/>
    <col min="4" max="4" width="9" style="11" bestFit="1" customWidth="1"/>
    <col min="5" max="5" width="23.83203125" style="11" bestFit="1" customWidth="1"/>
    <col min="6" max="10" width="10.83203125" style="11"/>
    <col min="11" max="11" width="15.33203125" style="11" bestFit="1" customWidth="1"/>
    <col min="12" max="12" width="18.33203125" style="28" bestFit="1" customWidth="1"/>
    <col min="13" max="13" width="15" style="11" bestFit="1" customWidth="1"/>
    <col min="14" max="14" width="19.5" style="11" bestFit="1" customWidth="1"/>
    <col min="15" max="16384" width="10.83203125" style="11"/>
  </cols>
  <sheetData>
    <row r="1" spans="1:38">
      <c r="A1" s="20" t="s">
        <v>134</v>
      </c>
      <c r="B1" s="20" t="s">
        <v>2</v>
      </c>
      <c r="C1" s="20" t="s">
        <v>24</v>
      </c>
      <c r="D1" s="20" t="s">
        <v>110</v>
      </c>
      <c r="E1" s="20" t="s">
        <v>122</v>
      </c>
      <c r="F1" s="20" t="s">
        <v>123</v>
      </c>
      <c r="G1" s="21" t="s">
        <v>101</v>
      </c>
      <c r="H1" s="20" t="s">
        <v>32</v>
      </c>
      <c r="I1" s="20" t="s">
        <v>140</v>
      </c>
      <c r="J1" s="20" t="s">
        <v>141</v>
      </c>
      <c r="K1" s="20" t="s">
        <v>211</v>
      </c>
      <c r="L1" s="27" t="s">
        <v>196</v>
      </c>
      <c r="M1" s="25" t="s">
        <v>146</v>
      </c>
      <c r="N1" s="20" t="s">
        <v>144</v>
      </c>
      <c r="O1" s="27" t="s">
        <v>150</v>
      </c>
      <c r="P1" s="20" t="s">
        <v>147</v>
      </c>
      <c r="Q1" s="20" t="s">
        <v>148</v>
      </c>
      <c r="R1" s="26" t="s">
        <v>149</v>
      </c>
      <c r="S1" s="20" t="s">
        <v>151</v>
      </c>
      <c r="T1" s="20" t="s">
        <v>5</v>
      </c>
      <c r="U1" s="20" t="s">
        <v>6</v>
      </c>
      <c r="V1" s="20" t="s">
        <v>7</v>
      </c>
      <c r="W1" s="20" t="s">
        <v>8</v>
      </c>
      <c r="X1" s="20" t="s">
        <v>10</v>
      </c>
      <c r="Y1" s="20" t="s">
        <v>56</v>
      </c>
      <c r="Z1" s="20" t="s">
        <v>59</v>
      </c>
      <c r="AA1" s="20" t="s">
        <v>11</v>
      </c>
      <c r="AB1" s="20" t="s">
        <v>12</v>
      </c>
      <c r="AC1" s="20" t="s">
        <v>13</v>
      </c>
      <c r="AD1" s="20" t="s">
        <v>40</v>
      </c>
      <c r="AE1" s="20" t="s">
        <v>153</v>
      </c>
      <c r="AF1" s="20" t="s">
        <v>154</v>
      </c>
      <c r="AG1" s="20" t="s">
        <v>155</v>
      </c>
      <c r="AH1" s="20" t="s">
        <v>156</v>
      </c>
      <c r="AI1" s="25" t="s">
        <v>157</v>
      </c>
      <c r="AJ1" s="20" t="s">
        <v>102</v>
      </c>
      <c r="AK1" s="20" t="s">
        <v>207</v>
      </c>
      <c r="AL1" s="20" t="s">
        <v>73</v>
      </c>
    </row>
    <row r="2" spans="1:38" ht="17" thickBot="1">
      <c r="A2" s="75" t="s">
        <v>387</v>
      </c>
      <c r="B2" s="32" t="s">
        <v>89</v>
      </c>
      <c r="C2" s="32" t="s">
        <v>189</v>
      </c>
      <c r="D2" s="24" t="str">
        <f>IF(TestCaseConfig!$B$3="Yes","Yes","No")</f>
        <v>Yes</v>
      </c>
      <c r="E2" s="31" t="str" cm="1">
        <f t="array" ref="E2">_xlfn.XLOOKUP($A2,DataColumnRange,_xlfn.XLOOKUP(E$1,dataRowRange,ActualDataRange))</f>
        <v>sumit.choudhary@delta.com</v>
      </c>
      <c r="F2" s="31" t="str" cm="1">
        <f t="array" ref="F2">_xlfn.XLOOKUP($A2,DataColumnRange,_xlfn.XLOOKUP(F$1,dataRowRange,ActualDataRange))</f>
        <v>Delta2</v>
      </c>
      <c r="G2" s="31" t="b" cm="1">
        <f t="array" ref="G2">_xlfn.XLOOKUP($A2,DataColumnRange,_xlfn.XLOOKUP(G$1,dataRowRange,ActualDataRange))</f>
        <v>1</v>
      </c>
      <c r="H2" s="31" t="str" cm="1">
        <f t="array" ref="H2">_xlfn.XLOOKUP($A2,DataColumnRange,_xlfn.XLOOKUP(H$1,dataRowRange,ActualDataRange))</f>
        <v>NA</v>
      </c>
      <c r="I2" s="31" t="str" cm="1">
        <f t="array" ref="I2">_xlfn.XLOOKUP($A2,DataColumnRange,_xlfn.XLOOKUP(I$1,dataRowRange,ActualDataRange))</f>
        <v>JFK</v>
      </c>
      <c r="J2" s="31" t="str" cm="1">
        <f t="array" ref="J2">_xlfn.XLOOKUP($A2,DataColumnRange,_xlfn.XLOOKUP(J$1,dataRowRange,ActualDataRange))</f>
        <v>ATL</v>
      </c>
      <c r="K2" s="31" t="str" cm="1">
        <f t="array" ref="K2">_xlfn.XLOOKUP($A2,DataColumnRange,_xlfn.XLOOKUP(K$1,dataRowRange,ActualDataRange))</f>
        <v>Adult</v>
      </c>
      <c r="L2" s="31" t="str" cm="1">
        <f t="array" ref="L2">_xlfn.XLOOKUP($A2,DataColumnRange,_xlfn.XLOOKUP(L$1,dataRowRange,ActualDataRange))</f>
        <v>Test Human Remains</v>
      </c>
      <c r="M2" s="31" cm="1">
        <f t="array" ref="M2">_xlfn.XLOOKUP($A2,DataColumnRange,_xlfn.XLOOKUP(M$1,dataRowRange,ActualDataRange))</f>
        <v>10</v>
      </c>
      <c r="N2" s="31" t="str" cm="1">
        <f t="array" ref="N2">_xlfn.XLOOKUP($A2,DataColumnRange,_xlfn.XLOOKUP(N$1,dataRowRange,ActualDataRange))</f>
        <v>LB</v>
      </c>
      <c r="O2" s="31" cm="1">
        <f t="array" ref="O2">_xlfn.XLOOKUP($A2,DataColumnRange,_xlfn.XLOOKUP(O$1,dataRowRange,ActualDataRange))</f>
        <v>1</v>
      </c>
      <c r="P2" s="31" cm="1">
        <f t="array" ref="P2">_xlfn.XLOOKUP($A2,DataColumnRange,_xlfn.XLOOKUP(P$1,dataRowRange,ActualDataRange))</f>
        <v>10</v>
      </c>
      <c r="Q2" s="31" cm="1">
        <f t="array" ref="Q2">_xlfn.XLOOKUP($A2,DataColumnRange,_xlfn.XLOOKUP(Q$1,dataRowRange,ActualDataRange))</f>
        <v>10</v>
      </c>
      <c r="R2" s="31" cm="1">
        <f t="array" ref="R2">_xlfn.XLOOKUP($A2,DataColumnRange,_xlfn.XLOOKUP(R$1,dataRowRange,ActualDataRange))</f>
        <v>10</v>
      </c>
      <c r="S2" s="31" t="str" cm="1">
        <f t="array" ref="S2">_xlfn.XLOOKUP($A2,DataColumnRange,_xlfn.XLOOKUP(S$1,dataRowRange,ActualDataRange))</f>
        <v>IN</v>
      </c>
      <c r="T2" s="31" t="str" cm="1">
        <f t="array" ref="T2">_xlfn.XLOOKUP($A2,DataColumnRange,_xlfn.XLOOKUP(T$1,dataRowRange,ActualDataRange))</f>
        <v>Cubic Feet</v>
      </c>
      <c r="U2" s="31" t="str" cm="1">
        <f t="array" ref="U2">_xlfn.XLOOKUP($A2,DataColumnRange,_xlfn.XLOOKUP(U$1,dataRowRange,ActualDataRange))</f>
        <v>No</v>
      </c>
      <c r="V2" s="31" t="str" cm="1">
        <f t="array" ref="V2">_xlfn.XLOOKUP($A2,DataColumnRange,_xlfn.XLOOKUP(V$1,dataRowRange,ActualDataRange))</f>
        <v>No</v>
      </c>
      <c r="W2" s="31" t="str" cm="1">
        <f t="array" ref="W2">_xlfn.XLOOKUP($A2,DataColumnRange,_xlfn.XLOOKUP(W$1,dataRowRange,ActualDataRange))</f>
        <v>No</v>
      </c>
      <c r="X2" s="31" cm="1">
        <f t="array" ref="X2">_xlfn.XLOOKUP($A2,DataColumnRange,_xlfn.XLOOKUP(X$1,dataRowRange,ActualDataRange))</f>
        <v>2</v>
      </c>
      <c r="Y2" s="31" t="str" cm="1">
        <f t="array" ref="Y2">_xlfn.XLOOKUP($A2,DataColumnRange,_xlfn.XLOOKUP(Y$1,dataRowRange,ActualDataRange))</f>
        <v>No</v>
      </c>
      <c r="Z2" s="31" t="str" cm="1">
        <f t="array" ref="Z2">_xlfn.XLOOKUP($A2,DataColumnRange,_xlfn.XLOOKUP(Z$1,dataRowRange,ActualDataRange))</f>
        <v>NA</v>
      </c>
      <c r="AA2" s="31" t="str" cm="1">
        <f t="array" ref="AA2">_xlfn.XLOOKUP($A2,DataColumnRange,_xlfn.XLOOKUP(AA$1,dataRowRange,ActualDataRange))</f>
        <v>000260018</v>
      </c>
      <c r="AB2" s="31" t="str" cm="1">
        <f t="array" ref="AB2">_xlfn.XLOOKUP($A2,DataColumnRange,_xlfn.XLOOKUP(AB$1,dataRowRange,ActualDataRange))</f>
        <v>GeneralCargoTemplate</v>
      </c>
      <c r="AC2" s="31" t="str" cm="1">
        <f t="array" ref="AC2">_xlfn.XLOOKUP($A2,DataColumnRange,_xlfn.XLOOKUP(AC$1,dataRowRange,ActualDataRange))</f>
        <v>CreditCard</v>
      </c>
      <c r="AD2" s="31" t="str" cm="1">
        <f t="array" ref="AD2">_xlfn.XLOOKUP($A2,DataColumnRange,_xlfn.XLOOKUP(AD$1,dataRowRange,ActualDataRange))</f>
        <v>NA</v>
      </c>
      <c r="AE2" s="31" t="str" cm="1">
        <f t="array" ref="AE2">_xlfn.XLOOKUP($A2,DataColumnRange,_xlfn.XLOOKUP(AE$1,dataRowRange,ActualDataRange))</f>
        <v>Test1</v>
      </c>
      <c r="AF2" s="31" t="str" cm="1">
        <f t="array" ref="AF2">_xlfn.XLOOKUP($A2,DataColumnRange,_xlfn.XLOOKUP(AF$1,dataRowRange,ActualDataRange))</f>
        <v>Test2</v>
      </c>
      <c r="AG2" s="31" t="str" cm="1">
        <f t="array" ref="AG2">_xlfn.XLOOKUP($A2,DataColumnRange,_xlfn.XLOOKUP(AG$1,dataRowRange,ActualDataRange))</f>
        <v>Atlanta</v>
      </c>
      <c r="AH2" s="31" t="str" cm="1">
        <f t="array" ref="AH2">_xlfn.XLOOKUP($A2,DataColumnRange,_xlfn.XLOOKUP(AH$1,dataRowRange,ActualDataRange))</f>
        <v>Georgia</v>
      </c>
      <c r="AI2" s="31" cm="1">
        <f t="array" ref="AI2">_xlfn.XLOOKUP($A2,DataColumnRange,_xlfn.XLOOKUP(AI$1,dataRowRange,ActualDataRange))</f>
        <v>55055</v>
      </c>
      <c r="AJ2" s="31" t="str" cm="1">
        <f t="array" ref="AJ2">_xlfn.XLOOKUP($A2,DataColumnRange,_xlfn.XLOOKUP(AJ$1,dataRowRange,ActualDataRange))</f>
        <v>000075010</v>
      </c>
      <c r="AK2" s="31" t="str" cm="1">
        <f t="array" ref="AK2">_xlfn.XLOOKUP($A2,DataColumnRange,_xlfn.XLOOKUP(AK$1,dataRowRange,ActualDataRange))</f>
        <v>Domestic</v>
      </c>
      <c r="AL2" s="31" cm="1">
        <f t="array" ref="AL2">_xlfn.XLOOKUP($A2,DataColumnRange,_xlfn.XLOOKUP(AL$1,dataRowRange,ActualDataRange))</f>
        <v>0</v>
      </c>
    </row>
    <row r="3" spans="1:38" ht="17" thickBot="1">
      <c r="A3" s="75" t="s">
        <v>388</v>
      </c>
      <c r="B3" s="32" t="s">
        <v>89</v>
      </c>
      <c r="C3" s="32" t="s">
        <v>189</v>
      </c>
      <c r="D3" s="24" t="str">
        <f>IF(TestCaseConfig!$B$3="Yes","Yes","No")</f>
        <v>Yes</v>
      </c>
      <c r="E3" s="31" t="str" cm="1">
        <f t="array" ref="E3">_xlfn.XLOOKUP($A3,DataColumnRange,_xlfn.XLOOKUP(E$1,dataRowRange,ActualDataRange))</f>
        <v>sumit.choudhary@delta.com</v>
      </c>
      <c r="F3" s="31" t="str" cm="1">
        <f t="array" ref="F3">_xlfn.XLOOKUP($A3,DataColumnRange,_xlfn.XLOOKUP(F$1,dataRowRange,ActualDataRange))</f>
        <v>Delta2</v>
      </c>
      <c r="G3" s="31" t="b" cm="1">
        <f t="array" ref="G3">_xlfn.XLOOKUP($A3,DataColumnRange,_xlfn.XLOOKUP(G$1,dataRowRange,ActualDataRange))</f>
        <v>1</v>
      </c>
      <c r="H3" s="31" t="str" cm="1">
        <f t="array" ref="H3">_xlfn.XLOOKUP($A3,DataColumnRange,_xlfn.XLOOKUP(H$1,dataRowRange,ActualDataRange))</f>
        <v>NA</v>
      </c>
      <c r="I3" s="31" t="str" cm="1">
        <f t="array" ref="I3">_xlfn.XLOOKUP($A3,DataColumnRange,_xlfn.XLOOKUP(I$1,dataRowRange,ActualDataRange))</f>
        <v>JFK</v>
      </c>
      <c r="J3" s="31" t="str" cm="1">
        <f t="array" ref="J3">_xlfn.XLOOKUP($A3,DataColumnRange,_xlfn.XLOOKUP(J$1,dataRowRange,ActualDataRange))</f>
        <v>ATL</v>
      </c>
      <c r="K3" s="31" t="str" cm="1">
        <f t="array" ref="K3">_xlfn.XLOOKUP($A3,DataColumnRange,_xlfn.XLOOKUP(K$1,dataRowRange,ActualDataRange))</f>
        <v>Child/Infant</v>
      </c>
      <c r="L3" s="31" t="str" cm="1">
        <f t="array" ref="L3">_xlfn.XLOOKUP($A3,DataColumnRange,_xlfn.XLOOKUP(L$1,dataRowRange,ActualDataRange))</f>
        <v>Test Human Remains</v>
      </c>
      <c r="M3" s="31" cm="1">
        <f t="array" ref="M3">_xlfn.XLOOKUP($A3,DataColumnRange,_xlfn.XLOOKUP(M$1,dataRowRange,ActualDataRange))</f>
        <v>10</v>
      </c>
      <c r="N3" s="31" t="str" cm="1">
        <f t="array" ref="N3">_xlfn.XLOOKUP($A3,DataColumnRange,_xlfn.XLOOKUP(N$1,dataRowRange,ActualDataRange))</f>
        <v>LB</v>
      </c>
      <c r="O3" s="31" cm="1">
        <f t="array" ref="O3">_xlfn.XLOOKUP($A3,DataColumnRange,_xlfn.XLOOKUP(O$1,dataRowRange,ActualDataRange))</f>
        <v>1</v>
      </c>
      <c r="P3" s="31" cm="1">
        <f t="array" ref="P3">_xlfn.XLOOKUP($A3,DataColumnRange,_xlfn.XLOOKUP(P$1,dataRowRange,ActualDataRange))</f>
        <v>10</v>
      </c>
      <c r="Q3" s="31" cm="1">
        <f t="array" ref="Q3">_xlfn.XLOOKUP($A3,DataColumnRange,_xlfn.XLOOKUP(Q$1,dataRowRange,ActualDataRange))</f>
        <v>10</v>
      </c>
      <c r="R3" s="31" cm="1">
        <f t="array" ref="R3">_xlfn.XLOOKUP($A3,DataColumnRange,_xlfn.XLOOKUP(R$1,dataRowRange,ActualDataRange))</f>
        <v>10</v>
      </c>
      <c r="S3" s="31" t="str" cm="1">
        <f t="array" ref="S3">_xlfn.XLOOKUP($A3,DataColumnRange,_xlfn.XLOOKUP(S$1,dataRowRange,ActualDataRange))</f>
        <v>IN</v>
      </c>
      <c r="T3" s="31" t="str" cm="1">
        <f t="array" ref="T3">_xlfn.XLOOKUP($A3,DataColumnRange,_xlfn.XLOOKUP(T$1,dataRowRange,ActualDataRange))</f>
        <v>Cubic Feet</v>
      </c>
      <c r="U3" s="31" t="str" cm="1">
        <f t="array" ref="U3">_xlfn.XLOOKUP($A3,DataColumnRange,_xlfn.XLOOKUP(U$1,dataRowRange,ActualDataRange))</f>
        <v>No</v>
      </c>
      <c r="V3" s="31" t="str" cm="1">
        <f t="array" ref="V3">_xlfn.XLOOKUP($A3,DataColumnRange,_xlfn.XLOOKUP(V$1,dataRowRange,ActualDataRange))</f>
        <v>No</v>
      </c>
      <c r="W3" s="31" t="str" cm="1">
        <f t="array" ref="W3">_xlfn.XLOOKUP($A3,DataColumnRange,_xlfn.XLOOKUP(W$1,dataRowRange,ActualDataRange))</f>
        <v>No</v>
      </c>
      <c r="X3" s="31" cm="1">
        <f t="array" ref="X3">_xlfn.XLOOKUP($A3,DataColumnRange,_xlfn.XLOOKUP(X$1,dataRowRange,ActualDataRange))</f>
        <v>2</v>
      </c>
      <c r="Y3" s="31" t="str" cm="1">
        <f t="array" ref="Y3">_xlfn.XLOOKUP($A3,DataColumnRange,_xlfn.XLOOKUP(Y$1,dataRowRange,ActualDataRange))</f>
        <v>No</v>
      </c>
      <c r="Z3" s="31" t="str" cm="1">
        <f t="array" ref="Z3">_xlfn.XLOOKUP($A3,DataColumnRange,_xlfn.XLOOKUP(Z$1,dataRowRange,ActualDataRange))</f>
        <v>NA</v>
      </c>
      <c r="AA3" s="31" t="str" cm="1">
        <f t="array" ref="AA3">_xlfn.XLOOKUP($A3,DataColumnRange,_xlfn.XLOOKUP(AA$1,dataRowRange,ActualDataRange))</f>
        <v>000260018</v>
      </c>
      <c r="AB3" s="31" t="str" cm="1">
        <f t="array" ref="AB3">_xlfn.XLOOKUP($A3,DataColumnRange,_xlfn.XLOOKUP(AB$1,dataRowRange,ActualDataRange))</f>
        <v>GeneralCargoTemplate</v>
      </c>
      <c r="AC3" s="31" t="str" cm="1">
        <f t="array" ref="AC3">_xlfn.XLOOKUP($A3,DataColumnRange,_xlfn.XLOOKUP(AC$1,dataRowRange,ActualDataRange))</f>
        <v>CreditCard</v>
      </c>
      <c r="AD3" s="31" t="str" cm="1">
        <f t="array" ref="AD3">_xlfn.XLOOKUP($A3,DataColumnRange,_xlfn.XLOOKUP(AD$1,dataRowRange,ActualDataRange))</f>
        <v>NA</v>
      </c>
      <c r="AE3" s="31" t="str" cm="1">
        <f t="array" ref="AE3">_xlfn.XLOOKUP($A3,DataColumnRange,_xlfn.XLOOKUP(AE$1,dataRowRange,ActualDataRange))</f>
        <v>Test1</v>
      </c>
      <c r="AF3" s="31" t="str" cm="1">
        <f t="array" ref="AF3">_xlfn.XLOOKUP($A3,DataColumnRange,_xlfn.XLOOKUP(AF$1,dataRowRange,ActualDataRange))</f>
        <v>Test2</v>
      </c>
      <c r="AG3" s="31" t="str" cm="1">
        <f t="array" ref="AG3">_xlfn.XLOOKUP($A3,DataColumnRange,_xlfn.XLOOKUP(AG$1,dataRowRange,ActualDataRange))</f>
        <v>Atlanta</v>
      </c>
      <c r="AH3" s="31" t="str" cm="1">
        <f t="array" ref="AH3">_xlfn.XLOOKUP($A3,DataColumnRange,_xlfn.XLOOKUP(AH$1,dataRowRange,ActualDataRange))</f>
        <v>Georgia</v>
      </c>
      <c r="AI3" s="31" cm="1">
        <f t="array" ref="AI3">_xlfn.XLOOKUP($A3,DataColumnRange,_xlfn.XLOOKUP(AI$1,dataRowRange,ActualDataRange))</f>
        <v>55055</v>
      </c>
      <c r="AJ3" s="31" t="str" cm="1">
        <f t="array" ref="AJ3">_xlfn.XLOOKUP($A3,DataColumnRange,_xlfn.XLOOKUP(AJ$1,dataRowRange,ActualDataRange))</f>
        <v>000075010</v>
      </c>
      <c r="AK3" s="31" t="str" cm="1">
        <f t="array" ref="AK3">_xlfn.XLOOKUP($A3,DataColumnRange,_xlfn.XLOOKUP(AK$1,dataRowRange,ActualDataRange))</f>
        <v>Domestic</v>
      </c>
      <c r="AL3" s="31" cm="1">
        <f t="array" ref="AL3">_xlfn.XLOOKUP($A3,DataColumnRange,_xlfn.XLOOKUP(AL$1,dataRowRange,ActualDataRange))</f>
        <v>0</v>
      </c>
    </row>
    <row r="4" spans="1:38" ht="17" thickBot="1">
      <c r="A4" s="75" t="s">
        <v>389</v>
      </c>
      <c r="B4" s="32" t="s">
        <v>89</v>
      </c>
      <c r="C4" s="32" t="s">
        <v>189</v>
      </c>
      <c r="D4" s="24" t="str">
        <f>IF(TestCaseConfig!$B$3="Yes","Yes","No")</f>
        <v>Yes</v>
      </c>
      <c r="E4" s="31" t="str" cm="1">
        <f t="array" ref="E4">_xlfn.XLOOKUP($A4,DataColumnRange,_xlfn.XLOOKUP(E$1,dataRowRange,ActualDataRange))</f>
        <v>sumit.choudhary@delta.com</v>
      </c>
      <c r="F4" s="31" t="str" cm="1">
        <f t="array" ref="F4">_xlfn.XLOOKUP($A4,DataColumnRange,_xlfn.XLOOKUP(F$1,dataRowRange,ActualDataRange))</f>
        <v>Delta2</v>
      </c>
      <c r="G4" s="31" t="b" cm="1">
        <f t="array" ref="G4">_xlfn.XLOOKUP($A4,DataColumnRange,_xlfn.XLOOKUP(G$1,dataRowRange,ActualDataRange))</f>
        <v>1</v>
      </c>
      <c r="H4" s="31" t="str" cm="1">
        <f t="array" ref="H4">_xlfn.XLOOKUP($A4,DataColumnRange,_xlfn.XLOOKUP(H$1,dataRowRange,ActualDataRange))</f>
        <v>NA</v>
      </c>
      <c r="I4" s="31" t="str" cm="1">
        <f t="array" ref="I4">_xlfn.XLOOKUP($A4,DataColumnRange,_xlfn.XLOOKUP(I$1,dataRowRange,ActualDataRange))</f>
        <v>JFK</v>
      </c>
      <c r="J4" s="31" t="str" cm="1">
        <f t="array" ref="J4">_xlfn.XLOOKUP($A4,DataColumnRange,_xlfn.XLOOKUP(J$1,dataRowRange,ActualDataRange))</f>
        <v>ATL</v>
      </c>
      <c r="K4" s="31" t="str" cm="1">
        <f t="array" ref="K4">_xlfn.XLOOKUP($A4,DataColumnRange,_xlfn.XLOOKUP(K$1,dataRowRange,ActualDataRange))</f>
        <v>Cremated Remains</v>
      </c>
      <c r="L4" s="31" t="str" cm="1">
        <f t="array" ref="L4">_xlfn.XLOOKUP($A4,DataColumnRange,_xlfn.XLOOKUP(L$1,dataRowRange,ActualDataRange))</f>
        <v>Test Human Remains</v>
      </c>
      <c r="M4" s="31" cm="1">
        <f t="array" ref="M4">_xlfn.XLOOKUP($A4,DataColumnRange,_xlfn.XLOOKUP(M$1,dataRowRange,ActualDataRange))</f>
        <v>10</v>
      </c>
      <c r="N4" s="31" t="str" cm="1">
        <f t="array" ref="N4">_xlfn.XLOOKUP($A4,DataColumnRange,_xlfn.XLOOKUP(N$1,dataRowRange,ActualDataRange))</f>
        <v>LB</v>
      </c>
      <c r="O4" s="31" cm="1">
        <f t="array" ref="O4">_xlfn.XLOOKUP($A4,DataColumnRange,_xlfn.XLOOKUP(O$1,dataRowRange,ActualDataRange))</f>
        <v>1</v>
      </c>
      <c r="P4" s="31" cm="1">
        <f t="array" ref="P4">_xlfn.XLOOKUP($A4,DataColumnRange,_xlfn.XLOOKUP(P$1,dataRowRange,ActualDataRange))</f>
        <v>10</v>
      </c>
      <c r="Q4" s="31" cm="1">
        <f t="array" ref="Q4">_xlfn.XLOOKUP($A4,DataColumnRange,_xlfn.XLOOKUP(Q$1,dataRowRange,ActualDataRange))</f>
        <v>10</v>
      </c>
      <c r="R4" s="31" cm="1">
        <f t="array" ref="R4">_xlfn.XLOOKUP($A4,DataColumnRange,_xlfn.XLOOKUP(R$1,dataRowRange,ActualDataRange))</f>
        <v>10</v>
      </c>
      <c r="S4" s="31" t="str" cm="1">
        <f t="array" ref="S4">_xlfn.XLOOKUP($A4,DataColumnRange,_xlfn.XLOOKUP(S$1,dataRowRange,ActualDataRange))</f>
        <v>IN</v>
      </c>
      <c r="T4" s="31" t="str" cm="1">
        <f t="array" ref="T4">_xlfn.XLOOKUP($A4,DataColumnRange,_xlfn.XLOOKUP(T$1,dataRowRange,ActualDataRange))</f>
        <v>Cubic Feet</v>
      </c>
      <c r="U4" s="31" t="str" cm="1">
        <f t="array" ref="U4">_xlfn.XLOOKUP($A4,DataColumnRange,_xlfn.XLOOKUP(U$1,dataRowRange,ActualDataRange))</f>
        <v>No</v>
      </c>
      <c r="V4" s="31" t="str" cm="1">
        <f t="array" ref="V4">_xlfn.XLOOKUP($A4,DataColumnRange,_xlfn.XLOOKUP(V$1,dataRowRange,ActualDataRange))</f>
        <v>No</v>
      </c>
      <c r="W4" s="31" t="str" cm="1">
        <f t="array" ref="W4">_xlfn.XLOOKUP($A4,DataColumnRange,_xlfn.XLOOKUP(W$1,dataRowRange,ActualDataRange))</f>
        <v>No</v>
      </c>
      <c r="X4" s="31" cm="1">
        <f t="array" ref="X4">_xlfn.XLOOKUP($A4,DataColumnRange,_xlfn.XLOOKUP(X$1,dataRowRange,ActualDataRange))</f>
        <v>2</v>
      </c>
      <c r="Y4" s="31" t="str" cm="1">
        <f t="array" ref="Y4">_xlfn.XLOOKUP($A4,DataColumnRange,_xlfn.XLOOKUP(Y$1,dataRowRange,ActualDataRange))</f>
        <v>No</v>
      </c>
      <c r="Z4" s="31" t="str" cm="1">
        <f t="array" ref="Z4">_xlfn.XLOOKUP($A4,DataColumnRange,_xlfn.XLOOKUP(Z$1,dataRowRange,ActualDataRange))</f>
        <v>NA</v>
      </c>
      <c r="AA4" s="31" t="str" cm="1">
        <f t="array" ref="AA4">_xlfn.XLOOKUP($A4,DataColumnRange,_xlfn.XLOOKUP(AA$1,dataRowRange,ActualDataRange))</f>
        <v>000260018</v>
      </c>
      <c r="AB4" s="31" t="str" cm="1">
        <f t="array" ref="AB4">_xlfn.XLOOKUP($A4,DataColumnRange,_xlfn.XLOOKUP(AB$1,dataRowRange,ActualDataRange))</f>
        <v>GeneralCargoTemplate</v>
      </c>
      <c r="AC4" s="31" t="str" cm="1">
        <f t="array" ref="AC4">_xlfn.XLOOKUP($A4,DataColumnRange,_xlfn.XLOOKUP(AC$1,dataRowRange,ActualDataRange))</f>
        <v>CreditCard</v>
      </c>
      <c r="AD4" s="31" t="str" cm="1">
        <f t="array" ref="AD4">_xlfn.XLOOKUP($A4,DataColumnRange,_xlfn.XLOOKUP(AD$1,dataRowRange,ActualDataRange))</f>
        <v>NA</v>
      </c>
      <c r="AE4" s="31" t="str" cm="1">
        <f t="array" ref="AE4">_xlfn.XLOOKUP($A4,DataColumnRange,_xlfn.XLOOKUP(AE$1,dataRowRange,ActualDataRange))</f>
        <v>Test1</v>
      </c>
      <c r="AF4" s="31" t="str" cm="1">
        <f t="array" ref="AF4">_xlfn.XLOOKUP($A4,DataColumnRange,_xlfn.XLOOKUP(AF$1,dataRowRange,ActualDataRange))</f>
        <v>Test2</v>
      </c>
      <c r="AG4" s="31" t="str" cm="1">
        <f t="array" ref="AG4">_xlfn.XLOOKUP($A4,DataColumnRange,_xlfn.XLOOKUP(AG$1,dataRowRange,ActualDataRange))</f>
        <v>Atlanta</v>
      </c>
      <c r="AH4" s="31" t="str" cm="1">
        <f t="array" ref="AH4">_xlfn.XLOOKUP($A4,DataColumnRange,_xlfn.XLOOKUP(AH$1,dataRowRange,ActualDataRange))</f>
        <v>Georgia</v>
      </c>
      <c r="AI4" s="31" cm="1">
        <f t="array" ref="AI4">_xlfn.XLOOKUP($A4,DataColumnRange,_xlfn.XLOOKUP(AI$1,dataRowRange,ActualDataRange))</f>
        <v>55055</v>
      </c>
      <c r="AJ4" s="31" t="str" cm="1">
        <f t="array" ref="AJ4">_xlfn.XLOOKUP($A4,DataColumnRange,_xlfn.XLOOKUP(AJ$1,dataRowRange,ActualDataRange))</f>
        <v>000075010</v>
      </c>
      <c r="AK4" s="31" t="str" cm="1">
        <f t="array" ref="AK4">_xlfn.XLOOKUP($A4,DataColumnRange,_xlfn.XLOOKUP(AK$1,dataRowRange,ActualDataRange))</f>
        <v>Domestic</v>
      </c>
      <c r="AL4" s="31" cm="1">
        <f t="array" ref="AL4">_xlfn.XLOOKUP($A4,DataColumnRange,_xlfn.XLOOKUP(AL$1,dataRowRange,ActualDataRange))</f>
        <v>0</v>
      </c>
    </row>
    <row r="5" spans="1:38" ht="17" thickBot="1">
      <c r="A5" s="75" t="s">
        <v>390</v>
      </c>
      <c r="B5" s="32" t="s">
        <v>89</v>
      </c>
      <c r="C5" s="32" t="s">
        <v>189</v>
      </c>
      <c r="D5" s="24" t="str">
        <f>IF(TestCaseConfig!$B$3="Yes","Yes","No")</f>
        <v>Yes</v>
      </c>
      <c r="E5" s="31" t="str" cm="1">
        <f t="array" ref="E5">_xlfn.XLOOKUP($A5,DataColumnRange,_xlfn.XLOOKUP(E$1,dataRowRange,ActualDataRange))</f>
        <v>sumit.choudhary@delta.com</v>
      </c>
      <c r="F5" s="31" t="str" cm="1">
        <f t="array" ref="F5">_xlfn.XLOOKUP($A5,DataColumnRange,_xlfn.XLOOKUP(F$1,dataRowRange,ActualDataRange))</f>
        <v>Delta2</v>
      </c>
      <c r="G5" s="31" t="b" cm="1">
        <f t="array" ref="G5">_xlfn.XLOOKUP($A5,DataColumnRange,_xlfn.XLOOKUP(G$1,dataRowRange,ActualDataRange))</f>
        <v>1</v>
      </c>
      <c r="H5" s="31" t="str" cm="1">
        <f t="array" ref="H5">_xlfn.XLOOKUP($A5,DataColumnRange,_xlfn.XLOOKUP(H$1,dataRowRange,ActualDataRange))</f>
        <v>NA</v>
      </c>
      <c r="I5" s="31" t="str" cm="1">
        <f t="array" ref="I5">_xlfn.XLOOKUP($A5,DataColumnRange,_xlfn.XLOOKUP(I$1,dataRowRange,ActualDataRange))</f>
        <v>JFK</v>
      </c>
      <c r="J5" s="31" t="str" cm="1">
        <f t="array" ref="J5">_xlfn.XLOOKUP($A5,DataColumnRange,_xlfn.XLOOKUP(J$1,dataRowRange,ActualDataRange))</f>
        <v>ATL</v>
      </c>
      <c r="K5" s="31" t="str" cm="1">
        <f t="array" ref="K5">_xlfn.XLOOKUP($A5,DataColumnRange,_xlfn.XLOOKUP(K$1,dataRowRange,ActualDataRange))</f>
        <v>Adult</v>
      </c>
      <c r="L5" s="31" t="str" cm="1">
        <f t="array" ref="L5">_xlfn.XLOOKUP($A5,DataColumnRange,_xlfn.XLOOKUP(L$1,dataRowRange,ActualDataRange))</f>
        <v>Test Human Remains</v>
      </c>
      <c r="M5" s="31" cm="1">
        <f t="array" ref="M5">_xlfn.XLOOKUP($A5,DataColumnRange,_xlfn.XLOOKUP(M$1,dataRowRange,ActualDataRange))</f>
        <v>10</v>
      </c>
      <c r="N5" s="31" t="str" cm="1">
        <f t="array" ref="N5">_xlfn.XLOOKUP($A5,DataColumnRange,_xlfn.XLOOKUP(N$1,dataRowRange,ActualDataRange))</f>
        <v>LB</v>
      </c>
      <c r="O5" s="31" cm="1">
        <f t="array" ref="O5">_xlfn.XLOOKUP($A5,DataColumnRange,_xlfn.XLOOKUP(O$1,dataRowRange,ActualDataRange))</f>
        <v>1</v>
      </c>
      <c r="P5" s="31" cm="1">
        <f t="array" ref="P5">_xlfn.XLOOKUP($A5,DataColumnRange,_xlfn.XLOOKUP(P$1,dataRowRange,ActualDataRange))</f>
        <v>10</v>
      </c>
      <c r="Q5" s="31" cm="1">
        <f t="array" ref="Q5">_xlfn.XLOOKUP($A5,DataColumnRange,_xlfn.XLOOKUP(Q$1,dataRowRange,ActualDataRange))</f>
        <v>10</v>
      </c>
      <c r="R5" s="31" cm="1">
        <f t="array" ref="R5">_xlfn.XLOOKUP($A5,DataColumnRange,_xlfn.XLOOKUP(R$1,dataRowRange,ActualDataRange))</f>
        <v>10</v>
      </c>
      <c r="S5" s="31" t="str" cm="1">
        <f t="array" ref="S5">_xlfn.XLOOKUP($A5,DataColumnRange,_xlfn.XLOOKUP(S$1,dataRowRange,ActualDataRange))</f>
        <v>IN</v>
      </c>
      <c r="T5" s="31" t="str" cm="1">
        <f t="array" ref="T5">_xlfn.XLOOKUP($A5,DataColumnRange,_xlfn.XLOOKUP(T$1,dataRowRange,ActualDataRange))</f>
        <v>Cubic Feet</v>
      </c>
      <c r="U5" s="31" t="str" cm="1">
        <f t="array" ref="U5">_xlfn.XLOOKUP($A5,DataColumnRange,_xlfn.XLOOKUP(U$1,dataRowRange,ActualDataRange))</f>
        <v>No</v>
      </c>
      <c r="V5" s="31" t="str" cm="1">
        <f t="array" ref="V5">_xlfn.XLOOKUP($A5,DataColumnRange,_xlfn.XLOOKUP(V$1,dataRowRange,ActualDataRange))</f>
        <v>No</v>
      </c>
      <c r="W5" s="31" t="str" cm="1">
        <f t="array" ref="W5">_xlfn.XLOOKUP($A5,DataColumnRange,_xlfn.XLOOKUP(W$1,dataRowRange,ActualDataRange))</f>
        <v>No</v>
      </c>
      <c r="X5" s="31" cm="1">
        <f t="array" ref="X5">_xlfn.XLOOKUP($A5,DataColumnRange,_xlfn.XLOOKUP(X$1,dataRowRange,ActualDataRange))</f>
        <v>2</v>
      </c>
      <c r="Y5" s="31" t="str" cm="1">
        <f t="array" ref="Y5">_xlfn.XLOOKUP($A5,DataColumnRange,_xlfn.XLOOKUP(Y$1,dataRowRange,ActualDataRange))</f>
        <v>No</v>
      </c>
      <c r="Z5" s="31" t="str" cm="1">
        <f t="array" ref="Z5">_xlfn.XLOOKUP($A5,DataColumnRange,_xlfn.XLOOKUP(Z$1,dataRowRange,ActualDataRange))</f>
        <v>NA</v>
      </c>
      <c r="AA5" s="31" t="str" cm="1">
        <f t="array" ref="AA5">_xlfn.XLOOKUP($A5,DataColumnRange,_xlfn.XLOOKUP(AA$1,dataRowRange,ActualDataRange))</f>
        <v>000260018</v>
      </c>
      <c r="AB5" s="31" t="str" cm="1">
        <f t="array" ref="AB5">_xlfn.XLOOKUP($A5,DataColumnRange,_xlfn.XLOOKUP(AB$1,dataRowRange,ActualDataRange))</f>
        <v>GeneralCargoTemplate</v>
      </c>
      <c r="AC5" s="31" t="str" cm="1">
        <f t="array" ref="AC5">_xlfn.XLOOKUP($A5,DataColumnRange,_xlfn.XLOOKUP(AC$1,dataRowRange,ActualDataRange))</f>
        <v>CreditCard</v>
      </c>
      <c r="AD5" s="31" t="str" cm="1">
        <f t="array" ref="AD5">_xlfn.XLOOKUP($A5,DataColumnRange,_xlfn.XLOOKUP(AD$1,dataRowRange,ActualDataRange))</f>
        <v>NA</v>
      </c>
      <c r="AE5" s="31" t="str" cm="1">
        <f t="array" ref="AE5">_xlfn.XLOOKUP($A5,DataColumnRange,_xlfn.XLOOKUP(AE$1,dataRowRange,ActualDataRange))</f>
        <v>Test1</v>
      </c>
      <c r="AF5" s="31" t="str" cm="1">
        <f t="array" ref="AF5">_xlfn.XLOOKUP($A5,DataColumnRange,_xlfn.XLOOKUP(AF$1,dataRowRange,ActualDataRange))</f>
        <v>Test2</v>
      </c>
      <c r="AG5" s="31" t="str" cm="1">
        <f t="array" ref="AG5">_xlfn.XLOOKUP($A5,DataColumnRange,_xlfn.XLOOKUP(AG$1,dataRowRange,ActualDataRange))</f>
        <v>Atlanta</v>
      </c>
      <c r="AH5" s="31" t="str" cm="1">
        <f t="array" ref="AH5">_xlfn.XLOOKUP($A5,DataColumnRange,_xlfn.XLOOKUP(AH$1,dataRowRange,ActualDataRange))</f>
        <v>Georgia</v>
      </c>
      <c r="AI5" s="31" cm="1">
        <f t="array" ref="AI5">_xlfn.XLOOKUP($A5,DataColumnRange,_xlfn.XLOOKUP(AI$1,dataRowRange,ActualDataRange))</f>
        <v>55055</v>
      </c>
      <c r="AJ5" s="31" t="str" cm="1">
        <f t="array" ref="AJ5">_xlfn.XLOOKUP($A5,DataColumnRange,_xlfn.XLOOKUP(AJ$1,dataRowRange,ActualDataRange))</f>
        <v>171276181</v>
      </c>
      <c r="AK5" s="31" t="str" cm="1">
        <f t="array" ref="AK5">_xlfn.XLOOKUP($A5,DataColumnRange,_xlfn.XLOOKUP(AK$1,dataRowRange,ActualDataRange))</f>
        <v>International</v>
      </c>
      <c r="AL5" s="31" cm="1">
        <f t="array" ref="AL5">_xlfn.XLOOKUP($A5,DataColumnRange,_xlfn.XLOOKUP(AL$1,dataRowRange,ActualDataRange))</f>
        <v>0</v>
      </c>
    </row>
    <row r="6" spans="1:38" ht="17" thickBot="1">
      <c r="A6" s="75" t="s">
        <v>391</v>
      </c>
      <c r="B6" s="32" t="s">
        <v>89</v>
      </c>
      <c r="C6" s="32" t="s">
        <v>189</v>
      </c>
      <c r="D6" s="24" t="str">
        <f>IF(TestCaseConfig!$B$3="Yes","Yes","No")</f>
        <v>Yes</v>
      </c>
      <c r="E6" s="31" t="str" cm="1">
        <f t="array" ref="E6">_xlfn.XLOOKUP($A6,DataColumnRange,_xlfn.XLOOKUP(E$1,dataRowRange,ActualDataRange))</f>
        <v>sumit.choudhary@delta.com</v>
      </c>
      <c r="F6" s="31" t="str" cm="1">
        <f t="array" ref="F6">_xlfn.XLOOKUP($A6,DataColumnRange,_xlfn.XLOOKUP(F$1,dataRowRange,ActualDataRange))</f>
        <v>Delta2</v>
      </c>
      <c r="G6" s="31" t="b" cm="1">
        <f t="array" ref="G6">_xlfn.XLOOKUP($A6,DataColumnRange,_xlfn.XLOOKUP(G$1,dataRowRange,ActualDataRange))</f>
        <v>1</v>
      </c>
      <c r="H6" s="31" t="str" cm="1">
        <f t="array" ref="H6">_xlfn.XLOOKUP($A6,DataColumnRange,_xlfn.XLOOKUP(H$1,dataRowRange,ActualDataRange))</f>
        <v>NA</v>
      </c>
      <c r="I6" s="31" t="str" cm="1">
        <f t="array" ref="I6">_xlfn.XLOOKUP($A6,DataColumnRange,_xlfn.XLOOKUP(I$1,dataRowRange,ActualDataRange))</f>
        <v>JFK</v>
      </c>
      <c r="J6" s="31" t="str" cm="1">
        <f t="array" ref="J6">_xlfn.XLOOKUP($A6,DataColumnRange,_xlfn.XLOOKUP(J$1,dataRowRange,ActualDataRange))</f>
        <v>ATL</v>
      </c>
      <c r="K6" s="31" t="str" cm="1">
        <f t="array" ref="K6">_xlfn.XLOOKUP($A6,DataColumnRange,_xlfn.XLOOKUP(K$1,dataRowRange,ActualDataRange))</f>
        <v>Child/Infant</v>
      </c>
      <c r="L6" s="31" t="str" cm="1">
        <f t="array" ref="L6">_xlfn.XLOOKUP($A6,DataColumnRange,_xlfn.XLOOKUP(L$1,dataRowRange,ActualDataRange))</f>
        <v>Test Human Remains</v>
      </c>
      <c r="M6" s="31" cm="1">
        <f t="array" ref="M6">_xlfn.XLOOKUP($A6,DataColumnRange,_xlfn.XLOOKUP(M$1,dataRowRange,ActualDataRange))</f>
        <v>10</v>
      </c>
      <c r="N6" s="31" t="str" cm="1">
        <f t="array" ref="N6">_xlfn.XLOOKUP($A6,DataColumnRange,_xlfn.XLOOKUP(N$1,dataRowRange,ActualDataRange))</f>
        <v>LB</v>
      </c>
      <c r="O6" s="31" cm="1">
        <f t="array" ref="O6">_xlfn.XLOOKUP($A6,DataColumnRange,_xlfn.XLOOKUP(O$1,dataRowRange,ActualDataRange))</f>
        <v>1</v>
      </c>
      <c r="P6" s="31" cm="1">
        <f t="array" ref="P6">_xlfn.XLOOKUP($A6,DataColumnRange,_xlfn.XLOOKUP(P$1,dataRowRange,ActualDataRange))</f>
        <v>10</v>
      </c>
      <c r="Q6" s="31" cm="1">
        <f t="array" ref="Q6">_xlfn.XLOOKUP($A6,DataColumnRange,_xlfn.XLOOKUP(Q$1,dataRowRange,ActualDataRange))</f>
        <v>10</v>
      </c>
      <c r="R6" s="31" cm="1">
        <f t="array" ref="R6">_xlfn.XLOOKUP($A6,DataColumnRange,_xlfn.XLOOKUP(R$1,dataRowRange,ActualDataRange))</f>
        <v>10</v>
      </c>
      <c r="S6" s="31" t="str" cm="1">
        <f t="array" ref="S6">_xlfn.XLOOKUP($A6,DataColumnRange,_xlfn.XLOOKUP(S$1,dataRowRange,ActualDataRange))</f>
        <v>IN</v>
      </c>
      <c r="T6" s="31" t="str" cm="1">
        <f t="array" ref="T6">_xlfn.XLOOKUP($A6,DataColumnRange,_xlfn.XLOOKUP(T$1,dataRowRange,ActualDataRange))</f>
        <v>Cubic Feet</v>
      </c>
      <c r="U6" s="31" t="str" cm="1">
        <f t="array" ref="U6">_xlfn.XLOOKUP($A6,DataColumnRange,_xlfn.XLOOKUP(U$1,dataRowRange,ActualDataRange))</f>
        <v>No</v>
      </c>
      <c r="V6" s="31" t="str" cm="1">
        <f t="array" ref="V6">_xlfn.XLOOKUP($A6,DataColumnRange,_xlfn.XLOOKUP(V$1,dataRowRange,ActualDataRange))</f>
        <v>No</v>
      </c>
      <c r="W6" s="31" t="str" cm="1">
        <f t="array" ref="W6">_xlfn.XLOOKUP($A6,DataColumnRange,_xlfn.XLOOKUP(W$1,dataRowRange,ActualDataRange))</f>
        <v>No</v>
      </c>
      <c r="X6" s="31" cm="1">
        <f t="array" ref="X6">_xlfn.XLOOKUP($A6,DataColumnRange,_xlfn.XLOOKUP(X$1,dataRowRange,ActualDataRange))</f>
        <v>2</v>
      </c>
      <c r="Y6" s="31" t="str" cm="1">
        <f t="array" ref="Y6">_xlfn.XLOOKUP($A6,DataColumnRange,_xlfn.XLOOKUP(Y$1,dataRowRange,ActualDataRange))</f>
        <v>No</v>
      </c>
      <c r="Z6" s="31" t="str" cm="1">
        <f t="array" ref="Z6">_xlfn.XLOOKUP($A6,DataColumnRange,_xlfn.XLOOKUP(Z$1,dataRowRange,ActualDataRange))</f>
        <v>NA</v>
      </c>
      <c r="AA6" s="31" t="str" cm="1">
        <f t="array" ref="AA6">_xlfn.XLOOKUP($A6,DataColumnRange,_xlfn.XLOOKUP(AA$1,dataRowRange,ActualDataRange))</f>
        <v>000260018</v>
      </c>
      <c r="AB6" s="31" t="str" cm="1">
        <f t="array" ref="AB6">_xlfn.XLOOKUP($A6,DataColumnRange,_xlfn.XLOOKUP(AB$1,dataRowRange,ActualDataRange))</f>
        <v>GeneralCargoTemplate</v>
      </c>
      <c r="AC6" s="31" t="str" cm="1">
        <f t="array" ref="AC6">_xlfn.XLOOKUP($A6,DataColumnRange,_xlfn.XLOOKUP(AC$1,dataRowRange,ActualDataRange))</f>
        <v>CreditCard</v>
      </c>
      <c r="AD6" s="31" t="str" cm="1">
        <f t="array" ref="AD6">_xlfn.XLOOKUP($A6,DataColumnRange,_xlfn.XLOOKUP(AD$1,dataRowRange,ActualDataRange))</f>
        <v>NA</v>
      </c>
      <c r="AE6" s="31" t="str" cm="1">
        <f t="array" ref="AE6">_xlfn.XLOOKUP($A6,DataColumnRange,_xlfn.XLOOKUP(AE$1,dataRowRange,ActualDataRange))</f>
        <v>Test1</v>
      </c>
      <c r="AF6" s="31" t="str" cm="1">
        <f t="array" ref="AF6">_xlfn.XLOOKUP($A6,DataColumnRange,_xlfn.XLOOKUP(AF$1,dataRowRange,ActualDataRange))</f>
        <v>Test2</v>
      </c>
      <c r="AG6" s="31" t="str" cm="1">
        <f t="array" ref="AG6">_xlfn.XLOOKUP($A6,DataColumnRange,_xlfn.XLOOKUP(AG$1,dataRowRange,ActualDataRange))</f>
        <v>Atlanta</v>
      </c>
      <c r="AH6" s="31" t="str" cm="1">
        <f t="array" ref="AH6">_xlfn.XLOOKUP($A6,DataColumnRange,_xlfn.XLOOKUP(AH$1,dataRowRange,ActualDataRange))</f>
        <v>Georgia</v>
      </c>
      <c r="AI6" s="31" cm="1">
        <f t="array" ref="AI6">_xlfn.XLOOKUP($A6,DataColumnRange,_xlfn.XLOOKUP(AI$1,dataRowRange,ActualDataRange))</f>
        <v>55055</v>
      </c>
      <c r="AJ6" s="31" t="str" cm="1">
        <f t="array" ref="AJ6">_xlfn.XLOOKUP($A6,DataColumnRange,_xlfn.XLOOKUP(AJ$1,dataRowRange,ActualDataRange))</f>
        <v>171276181</v>
      </c>
      <c r="AK6" s="31" t="str" cm="1">
        <f t="array" ref="AK6">_xlfn.XLOOKUP($A6,DataColumnRange,_xlfn.XLOOKUP(AK$1,dataRowRange,ActualDataRange))</f>
        <v>International</v>
      </c>
      <c r="AL6" s="31" cm="1">
        <f t="array" ref="AL6">_xlfn.XLOOKUP($A6,DataColumnRange,_xlfn.XLOOKUP(AL$1,dataRowRange,ActualDataRange))</f>
        <v>0</v>
      </c>
    </row>
    <row r="7" spans="1:38" ht="17" thickBot="1">
      <c r="A7" s="75" t="s">
        <v>392</v>
      </c>
      <c r="B7" s="32" t="s">
        <v>89</v>
      </c>
      <c r="C7" s="32" t="s">
        <v>189</v>
      </c>
      <c r="D7" s="24" t="str">
        <f>IF(TestCaseConfig!$B$3="Yes","Yes","No")</f>
        <v>Yes</v>
      </c>
      <c r="E7" s="31" t="str" cm="1">
        <f t="array" ref="E7">_xlfn.XLOOKUP($A7,DataColumnRange,_xlfn.XLOOKUP(E$1,dataRowRange,ActualDataRange))</f>
        <v>sumit.choudhary@delta.com</v>
      </c>
      <c r="F7" s="31" t="str" cm="1">
        <f t="array" ref="F7">_xlfn.XLOOKUP($A7,DataColumnRange,_xlfn.XLOOKUP(F$1,dataRowRange,ActualDataRange))</f>
        <v>Delta2</v>
      </c>
      <c r="G7" s="31" t="b" cm="1">
        <f t="array" ref="G7">_xlfn.XLOOKUP($A7,DataColumnRange,_xlfn.XLOOKUP(G$1,dataRowRange,ActualDataRange))</f>
        <v>1</v>
      </c>
      <c r="H7" s="31" t="str" cm="1">
        <f t="array" ref="H7">_xlfn.XLOOKUP($A7,DataColumnRange,_xlfn.XLOOKUP(H$1,dataRowRange,ActualDataRange))</f>
        <v>NA</v>
      </c>
      <c r="I7" s="31" t="str" cm="1">
        <f t="array" ref="I7">_xlfn.XLOOKUP($A7,DataColumnRange,_xlfn.XLOOKUP(I$1,dataRowRange,ActualDataRange))</f>
        <v>JFK</v>
      </c>
      <c r="J7" s="31" t="str" cm="1">
        <f t="array" ref="J7">_xlfn.XLOOKUP($A7,DataColumnRange,_xlfn.XLOOKUP(J$1,dataRowRange,ActualDataRange))</f>
        <v>ATL</v>
      </c>
      <c r="K7" s="31" t="str" cm="1">
        <f t="array" ref="K7">_xlfn.XLOOKUP($A7,DataColumnRange,_xlfn.XLOOKUP(K$1,dataRowRange,ActualDataRange))</f>
        <v>Cremated Remains</v>
      </c>
      <c r="L7" s="31" t="str" cm="1">
        <f t="array" ref="L7">_xlfn.XLOOKUP($A7,DataColumnRange,_xlfn.XLOOKUP(L$1,dataRowRange,ActualDataRange))</f>
        <v>Test Human Remains</v>
      </c>
      <c r="M7" s="31" cm="1">
        <f t="array" ref="M7">_xlfn.XLOOKUP($A7,DataColumnRange,_xlfn.XLOOKUP(M$1,dataRowRange,ActualDataRange))</f>
        <v>10</v>
      </c>
      <c r="N7" s="31" t="str" cm="1">
        <f t="array" ref="N7">_xlfn.XLOOKUP($A7,DataColumnRange,_xlfn.XLOOKUP(N$1,dataRowRange,ActualDataRange))</f>
        <v>LB</v>
      </c>
      <c r="O7" s="31" cm="1">
        <f t="array" ref="O7">_xlfn.XLOOKUP($A7,DataColumnRange,_xlfn.XLOOKUP(O$1,dataRowRange,ActualDataRange))</f>
        <v>1</v>
      </c>
      <c r="P7" s="31" cm="1">
        <f t="array" ref="P7">_xlfn.XLOOKUP($A7,DataColumnRange,_xlfn.XLOOKUP(P$1,dataRowRange,ActualDataRange))</f>
        <v>10</v>
      </c>
      <c r="Q7" s="31" cm="1">
        <f t="array" ref="Q7">_xlfn.XLOOKUP($A7,DataColumnRange,_xlfn.XLOOKUP(Q$1,dataRowRange,ActualDataRange))</f>
        <v>10</v>
      </c>
      <c r="R7" s="31" cm="1">
        <f t="array" ref="R7">_xlfn.XLOOKUP($A7,DataColumnRange,_xlfn.XLOOKUP(R$1,dataRowRange,ActualDataRange))</f>
        <v>10</v>
      </c>
      <c r="S7" s="31" t="str" cm="1">
        <f t="array" ref="S7">_xlfn.XLOOKUP($A7,DataColumnRange,_xlfn.XLOOKUP(S$1,dataRowRange,ActualDataRange))</f>
        <v>IN</v>
      </c>
      <c r="T7" s="31" t="str" cm="1">
        <f t="array" ref="T7">_xlfn.XLOOKUP($A7,DataColumnRange,_xlfn.XLOOKUP(T$1,dataRowRange,ActualDataRange))</f>
        <v>Cubic Feet</v>
      </c>
      <c r="U7" s="31" t="str" cm="1">
        <f t="array" ref="U7">_xlfn.XLOOKUP($A7,DataColumnRange,_xlfn.XLOOKUP(U$1,dataRowRange,ActualDataRange))</f>
        <v>No</v>
      </c>
      <c r="V7" s="31" t="str" cm="1">
        <f t="array" ref="V7">_xlfn.XLOOKUP($A7,DataColumnRange,_xlfn.XLOOKUP(V$1,dataRowRange,ActualDataRange))</f>
        <v>No</v>
      </c>
      <c r="W7" s="31" t="str" cm="1">
        <f t="array" ref="W7">_xlfn.XLOOKUP($A7,DataColumnRange,_xlfn.XLOOKUP(W$1,dataRowRange,ActualDataRange))</f>
        <v>No</v>
      </c>
      <c r="X7" s="31" cm="1">
        <f t="array" ref="X7">_xlfn.XLOOKUP($A7,DataColumnRange,_xlfn.XLOOKUP(X$1,dataRowRange,ActualDataRange))</f>
        <v>2</v>
      </c>
      <c r="Y7" s="31" t="str" cm="1">
        <f t="array" ref="Y7">_xlfn.XLOOKUP($A7,DataColumnRange,_xlfn.XLOOKUP(Y$1,dataRowRange,ActualDataRange))</f>
        <v>No</v>
      </c>
      <c r="Z7" s="31" t="str" cm="1">
        <f t="array" ref="Z7">_xlfn.XLOOKUP($A7,DataColumnRange,_xlfn.XLOOKUP(Z$1,dataRowRange,ActualDataRange))</f>
        <v>NA</v>
      </c>
      <c r="AA7" s="31" t="str" cm="1">
        <f t="array" ref="AA7">_xlfn.XLOOKUP($A7,DataColumnRange,_xlfn.XLOOKUP(AA$1,dataRowRange,ActualDataRange))</f>
        <v>000260018</v>
      </c>
      <c r="AB7" s="31" t="str" cm="1">
        <f t="array" ref="AB7">_xlfn.XLOOKUP($A7,DataColumnRange,_xlfn.XLOOKUP(AB$1,dataRowRange,ActualDataRange))</f>
        <v>GeneralCargoTemplate</v>
      </c>
      <c r="AC7" s="31" t="str" cm="1">
        <f t="array" ref="AC7">_xlfn.XLOOKUP($A7,DataColumnRange,_xlfn.XLOOKUP(AC$1,dataRowRange,ActualDataRange))</f>
        <v>CreditCard</v>
      </c>
      <c r="AD7" s="31" t="str" cm="1">
        <f t="array" ref="AD7">_xlfn.XLOOKUP($A7,DataColumnRange,_xlfn.XLOOKUP(AD$1,dataRowRange,ActualDataRange))</f>
        <v>NA</v>
      </c>
      <c r="AE7" s="31" t="str" cm="1">
        <f t="array" ref="AE7">_xlfn.XLOOKUP($A7,DataColumnRange,_xlfn.XLOOKUP(AE$1,dataRowRange,ActualDataRange))</f>
        <v>Test1</v>
      </c>
      <c r="AF7" s="31" t="str" cm="1">
        <f t="array" ref="AF7">_xlfn.XLOOKUP($A7,DataColumnRange,_xlfn.XLOOKUP(AF$1,dataRowRange,ActualDataRange))</f>
        <v>Test2</v>
      </c>
      <c r="AG7" s="31" t="str" cm="1">
        <f t="array" ref="AG7">_xlfn.XLOOKUP($A7,DataColumnRange,_xlfn.XLOOKUP(AG$1,dataRowRange,ActualDataRange))</f>
        <v>Atlanta</v>
      </c>
      <c r="AH7" s="31" t="str" cm="1">
        <f t="array" ref="AH7">_xlfn.XLOOKUP($A7,DataColumnRange,_xlfn.XLOOKUP(AH$1,dataRowRange,ActualDataRange))</f>
        <v>Georgia</v>
      </c>
      <c r="AI7" s="31" cm="1">
        <f t="array" ref="AI7">_xlfn.XLOOKUP($A7,DataColumnRange,_xlfn.XLOOKUP(AI$1,dataRowRange,ActualDataRange))</f>
        <v>55055</v>
      </c>
      <c r="AJ7" s="31" t="str" cm="1">
        <f t="array" ref="AJ7">_xlfn.XLOOKUP($A7,DataColumnRange,_xlfn.XLOOKUP(AJ$1,dataRowRange,ActualDataRange))</f>
        <v>171276181</v>
      </c>
      <c r="AK7" s="31" t="str" cm="1">
        <f t="array" ref="AK7">_xlfn.XLOOKUP($A7,DataColumnRange,_xlfn.XLOOKUP(AK$1,dataRowRange,ActualDataRange))</f>
        <v>International</v>
      </c>
      <c r="AL7" s="31" cm="1">
        <f t="array" ref="AL7">_xlfn.XLOOKUP($A7,DataColumnRange,_xlfn.XLOOKUP(AL$1,dataRowRange,ActualDataRange))</f>
        <v>0</v>
      </c>
    </row>
  </sheetData>
  <hyperlinks>
    <hyperlink ref="D2" location="AdvBkngSTD!A1" display="AdvBkngSTD" xr:uid="{89BF1A55-416C-8E4E-8334-C4641FEEB2CA}"/>
    <hyperlink ref="D3:D7" location="AdvBkngSTD!A1" display="AdvBkngSTD" xr:uid="{4BB5CFD4-C9B7-074E-AAD8-F369F48A689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9DB4-834B-3D43-AE5D-83E0EA72CBB8}">
  <dimension ref="A1:AL15"/>
  <sheetViews>
    <sheetView workbookViewId="0">
      <selection activeCell="A22" sqref="A22"/>
    </sheetView>
  </sheetViews>
  <sheetFormatPr defaultColWidth="11" defaultRowHeight="15.5"/>
  <cols>
    <col min="1" max="1" width="101" bestFit="1" customWidth="1"/>
    <col min="2" max="2" width="16" bestFit="1" customWidth="1"/>
    <col min="3" max="3" width="27.58203125" customWidth="1"/>
    <col min="9" max="9" width="14" bestFit="1" customWidth="1"/>
    <col min="10" max="10" width="18.5" bestFit="1" customWidth="1"/>
    <col min="11" max="11" width="15.33203125" bestFit="1" customWidth="1"/>
    <col min="37" max="37" width="11.5" bestFit="1" customWidth="1"/>
    <col min="38" max="38" width="17.58203125" customWidth="1"/>
  </cols>
  <sheetData>
    <row r="1" spans="1:38" s="11" customFormat="1">
      <c r="A1" s="19" t="s">
        <v>134</v>
      </c>
      <c r="B1" s="20" t="s">
        <v>2</v>
      </c>
      <c r="C1" s="20" t="s">
        <v>24</v>
      </c>
      <c r="D1" s="20" t="s">
        <v>110</v>
      </c>
      <c r="E1" s="20" t="s">
        <v>122</v>
      </c>
      <c r="F1" s="20" t="s">
        <v>123</v>
      </c>
      <c r="G1" s="21" t="s">
        <v>101</v>
      </c>
      <c r="H1" s="20" t="s">
        <v>32</v>
      </c>
      <c r="I1" s="20" t="s">
        <v>140</v>
      </c>
      <c r="J1" s="20" t="s">
        <v>141</v>
      </c>
      <c r="K1" s="20" t="s">
        <v>211</v>
      </c>
      <c r="L1" s="27" t="s">
        <v>196</v>
      </c>
      <c r="M1" s="25" t="s">
        <v>146</v>
      </c>
      <c r="N1" s="20" t="s">
        <v>144</v>
      </c>
      <c r="O1" s="27" t="s">
        <v>150</v>
      </c>
      <c r="P1" s="20" t="s">
        <v>147</v>
      </c>
      <c r="Q1" s="20" t="s">
        <v>148</v>
      </c>
      <c r="R1" s="26" t="s">
        <v>149</v>
      </c>
      <c r="S1" s="20" t="s">
        <v>151</v>
      </c>
      <c r="T1" s="20" t="s">
        <v>5</v>
      </c>
      <c r="U1" s="20" t="s">
        <v>6</v>
      </c>
      <c r="V1" s="20" t="s">
        <v>7</v>
      </c>
      <c r="W1" s="20" t="s">
        <v>8</v>
      </c>
      <c r="X1" s="20" t="s">
        <v>10</v>
      </c>
      <c r="Y1" s="20" t="s">
        <v>56</v>
      </c>
      <c r="Z1" s="20" t="s">
        <v>59</v>
      </c>
      <c r="AA1" s="20" t="s">
        <v>11</v>
      </c>
      <c r="AB1" s="20" t="s">
        <v>12</v>
      </c>
      <c r="AC1" s="20" t="s">
        <v>13</v>
      </c>
      <c r="AD1" s="20" t="s">
        <v>40</v>
      </c>
      <c r="AE1" s="20" t="s">
        <v>153</v>
      </c>
      <c r="AF1" s="20" t="s">
        <v>154</v>
      </c>
      <c r="AG1" s="20" t="s">
        <v>155</v>
      </c>
      <c r="AH1" s="20" t="s">
        <v>156</v>
      </c>
      <c r="AI1" s="25" t="s">
        <v>157</v>
      </c>
      <c r="AJ1" s="20" t="s">
        <v>102</v>
      </c>
      <c r="AK1" s="20" t="s">
        <v>207</v>
      </c>
      <c r="AL1" s="20" t="s">
        <v>73</v>
      </c>
    </row>
    <row r="2" spans="1:38" ht="17" thickBot="1">
      <c r="A2" s="75" t="s">
        <v>393</v>
      </c>
      <c r="B2" s="32" t="s">
        <v>209</v>
      </c>
      <c r="C2" s="32" t="s">
        <v>223</v>
      </c>
      <c r="D2" s="24" t="str">
        <f>IF(TestCaseConfig!$B$3="Yes","Yes","No")</f>
        <v>Yes</v>
      </c>
      <c r="E2" s="31" t="str" cm="1">
        <f t="array" ref="E2">_xlfn.XLOOKUP($A2,DataColumnRange,_xlfn.XLOOKUP(E$1,dataRowRange,ActualDataRange))</f>
        <v>sumit.choudhary@delta.com</v>
      </c>
      <c r="F2" s="31" t="str" cm="1">
        <f t="array" ref="F2">_xlfn.XLOOKUP($A2,DataColumnRange,_xlfn.XLOOKUP(F$1,dataRowRange,ActualDataRange))</f>
        <v>Delta2</v>
      </c>
      <c r="G2" s="31" t="b" cm="1">
        <f t="array" ref="G2">_xlfn.XLOOKUP($A2,DataColumnRange,_xlfn.XLOOKUP(G$1,dataRowRange,ActualDataRange))</f>
        <v>1</v>
      </c>
      <c r="H2" s="31" t="str" cm="1">
        <f t="array" ref="H2">_xlfn.XLOOKUP($A2,DataColumnRange,_xlfn.XLOOKUP(H$1,dataRowRange,ActualDataRange))</f>
        <v>NA</v>
      </c>
      <c r="I2" s="31" t="str" cm="1">
        <f t="array" ref="I2">_xlfn.XLOOKUP($A2,DataColumnRange,_xlfn.XLOOKUP(I$1,dataRowRange,ActualDataRange))</f>
        <v>JFK</v>
      </c>
      <c r="J2" s="31" t="str" cm="1">
        <f t="array" ref="J2">_xlfn.XLOOKUP($A2,DataColumnRange,_xlfn.XLOOKUP(J$1,dataRowRange,ActualDataRange))</f>
        <v>ATL</v>
      </c>
      <c r="K2" s="31" t="str" cm="1">
        <f t="array" ref="K2">_xlfn.XLOOKUP($A2,DataColumnRange,_xlfn.XLOOKUP(K$1,dataRowRange,ActualDataRange))</f>
        <v>Bird</v>
      </c>
      <c r="L2" s="31" t="str" cm="1">
        <f t="array" ref="L2">_xlfn.XLOOKUP($A2,DataColumnRange,_xlfn.XLOOKUP(L$1,dataRowRange,ActualDataRange))</f>
        <v>Test Pet and Live</v>
      </c>
      <c r="M2" s="31" cm="1">
        <f t="array" ref="M2">_xlfn.XLOOKUP($A2,DataColumnRange,_xlfn.XLOOKUP(M$1,dataRowRange,ActualDataRange))</f>
        <v>10</v>
      </c>
      <c r="N2" s="31" t="str" cm="1">
        <f t="array" ref="N2">_xlfn.XLOOKUP($A2,DataColumnRange,_xlfn.XLOOKUP(N$1,dataRowRange,ActualDataRange))</f>
        <v>LB</v>
      </c>
      <c r="O2" s="31" cm="1">
        <f t="array" ref="O2">_xlfn.XLOOKUP($A2,DataColumnRange,_xlfn.XLOOKUP(O$1,dataRowRange,ActualDataRange))</f>
        <v>1</v>
      </c>
      <c r="P2" s="31" cm="1">
        <f t="array" ref="P2">_xlfn.XLOOKUP($A2,DataColumnRange,_xlfn.XLOOKUP(P$1,dataRowRange,ActualDataRange))</f>
        <v>10</v>
      </c>
      <c r="Q2" s="31" cm="1">
        <f t="array" ref="Q2">_xlfn.XLOOKUP($A2,DataColumnRange,_xlfn.XLOOKUP(Q$1,dataRowRange,ActualDataRange))</f>
        <v>10</v>
      </c>
      <c r="R2" s="31" cm="1">
        <f t="array" ref="R2">_xlfn.XLOOKUP($A2,DataColumnRange,_xlfn.XLOOKUP(R$1,dataRowRange,ActualDataRange))</f>
        <v>10</v>
      </c>
      <c r="S2" s="31" t="str" cm="1">
        <f t="array" ref="S2">_xlfn.XLOOKUP($A2,DataColumnRange,_xlfn.XLOOKUP(S$1,dataRowRange,ActualDataRange))</f>
        <v>IN</v>
      </c>
      <c r="T2" s="31" t="str" cm="1">
        <f t="array" ref="T2">_xlfn.XLOOKUP($A2,DataColumnRange,_xlfn.XLOOKUP(T$1,dataRowRange,ActualDataRange))</f>
        <v>Cubic Feet</v>
      </c>
      <c r="U2" s="31" t="str" cm="1">
        <f t="array" ref="U2">_xlfn.XLOOKUP($A2,DataColumnRange,_xlfn.XLOOKUP(U$1,dataRowRange,ActualDataRange))</f>
        <v>No</v>
      </c>
      <c r="V2" s="31" t="str" cm="1">
        <f t="array" ref="V2">_xlfn.XLOOKUP($A2,DataColumnRange,_xlfn.XLOOKUP(V$1,dataRowRange,ActualDataRange))</f>
        <v>No</v>
      </c>
      <c r="W2" s="31" t="str" cm="1">
        <f t="array" ref="W2">_xlfn.XLOOKUP($A2,DataColumnRange,_xlfn.XLOOKUP(W$1,dataRowRange,ActualDataRange))</f>
        <v>No</v>
      </c>
      <c r="X2" s="31" cm="1">
        <f t="array" ref="X2">_xlfn.XLOOKUP($A2,DataColumnRange,_xlfn.XLOOKUP(X$1,dataRowRange,ActualDataRange))</f>
        <v>2</v>
      </c>
      <c r="Y2" s="31" t="str" cm="1">
        <f t="array" ref="Y2">_xlfn.XLOOKUP($A2,DataColumnRange,_xlfn.XLOOKUP(Y$1,dataRowRange,ActualDataRange))</f>
        <v>No</v>
      </c>
      <c r="Z2" s="31" t="str" cm="1">
        <f t="array" ref="Z2">_xlfn.XLOOKUP($A2,DataColumnRange,_xlfn.XLOOKUP(Z$1,dataRowRange,ActualDataRange))</f>
        <v>NA</v>
      </c>
      <c r="AA2" s="31" t="str" cm="1">
        <f t="array" ref="AA2">_xlfn.XLOOKUP($A2,DataColumnRange,_xlfn.XLOOKUP(AA$1,dataRowRange,ActualDataRange))</f>
        <v>000260018</v>
      </c>
      <c r="AB2" s="31" t="str" cm="1">
        <f t="array" ref="AB2">_xlfn.XLOOKUP($A2,DataColumnRange,_xlfn.XLOOKUP(AB$1,dataRowRange,ActualDataRange))</f>
        <v>GeneralCargoTemplate</v>
      </c>
      <c r="AC2" s="31" t="str" cm="1">
        <f t="array" ref="AC2">_xlfn.XLOOKUP($A2,DataColumnRange,_xlfn.XLOOKUP(AC$1,dataRowRange,ActualDataRange))</f>
        <v>CreditCard</v>
      </c>
      <c r="AD2" s="31" t="str" cm="1">
        <f t="array" ref="AD2">_xlfn.XLOOKUP($A2,DataColumnRange,_xlfn.XLOOKUP(AD$1,dataRowRange,ActualDataRange))</f>
        <v>NA</v>
      </c>
      <c r="AE2" s="31" t="str" cm="1">
        <f t="array" ref="AE2">_xlfn.XLOOKUP($A2,DataColumnRange,_xlfn.XLOOKUP(AE$1,dataRowRange,ActualDataRange))</f>
        <v>Test1</v>
      </c>
      <c r="AF2" s="31" t="str" cm="1">
        <f t="array" ref="AF2">_xlfn.XLOOKUP($A2,DataColumnRange,_xlfn.XLOOKUP(AF$1,dataRowRange,ActualDataRange))</f>
        <v>Test2</v>
      </c>
      <c r="AG2" s="31" t="str" cm="1">
        <f t="array" ref="AG2">_xlfn.XLOOKUP($A2,DataColumnRange,_xlfn.XLOOKUP(AG$1,dataRowRange,ActualDataRange))</f>
        <v>Atlanta</v>
      </c>
      <c r="AH2" s="31" t="str" cm="1">
        <f t="array" ref="AH2">_xlfn.XLOOKUP($A2,DataColumnRange,_xlfn.XLOOKUP(AH$1,dataRowRange,ActualDataRange))</f>
        <v>Georgia</v>
      </c>
      <c r="AI2" s="31" cm="1">
        <f t="array" ref="AI2">_xlfn.XLOOKUP($A2,DataColumnRange,_xlfn.XLOOKUP(AI$1,dataRowRange,ActualDataRange))</f>
        <v>55055</v>
      </c>
      <c r="AJ2" s="31" t="str" cm="1">
        <f t="array" ref="AJ2">_xlfn.XLOOKUP($A2,DataColumnRange,_xlfn.XLOOKUP(AJ$1,dataRowRange,ActualDataRange))</f>
        <v>000075010</v>
      </c>
      <c r="AK2" s="31" t="str" cm="1">
        <f t="array" ref="AK2">_xlfn.XLOOKUP($A2,DataColumnRange,_xlfn.XLOOKUP(AK$1,dataRowRange,ActualDataRange))</f>
        <v>Domestic</v>
      </c>
      <c r="AL2" s="31" cm="1">
        <f t="array" ref="AL2">_xlfn.XLOOKUP($A2,DataColumnRange,_xlfn.XLOOKUP(AL$1,dataRowRange,ActualDataRange))</f>
        <v>0</v>
      </c>
    </row>
    <row r="3" spans="1:38" ht="17" thickBot="1">
      <c r="A3" s="75" t="s">
        <v>394</v>
      </c>
      <c r="B3" s="32" t="s">
        <v>209</v>
      </c>
      <c r="C3" s="32" t="s">
        <v>223</v>
      </c>
      <c r="D3" s="24" t="str">
        <f>IF(TestCaseConfig!$B$3="Yes","Yes","No")</f>
        <v>Yes</v>
      </c>
      <c r="E3" s="31" t="str" cm="1">
        <f t="array" ref="E3">_xlfn.XLOOKUP($A3,DataColumnRange,_xlfn.XLOOKUP(E$1,dataRowRange,ActualDataRange))</f>
        <v>sumit.choudhary@delta.com</v>
      </c>
      <c r="F3" s="31" t="str" cm="1">
        <f t="array" ref="F3">_xlfn.XLOOKUP($A3,DataColumnRange,_xlfn.XLOOKUP(F$1,dataRowRange,ActualDataRange))</f>
        <v>Delta2</v>
      </c>
      <c r="G3" s="31" t="b" cm="1">
        <f t="array" ref="G3">_xlfn.XLOOKUP($A3,DataColumnRange,_xlfn.XLOOKUP(G$1,dataRowRange,ActualDataRange))</f>
        <v>1</v>
      </c>
      <c r="H3" s="31" t="str" cm="1">
        <f t="array" ref="H3">_xlfn.XLOOKUP($A3,DataColumnRange,_xlfn.XLOOKUP(H$1,dataRowRange,ActualDataRange))</f>
        <v>NA</v>
      </c>
      <c r="I3" s="31" t="str" cm="1">
        <f t="array" ref="I3">_xlfn.XLOOKUP($A3,DataColumnRange,_xlfn.XLOOKUP(I$1,dataRowRange,ActualDataRange))</f>
        <v>JFK</v>
      </c>
      <c r="J3" s="31" t="str" cm="1">
        <f t="array" ref="J3">_xlfn.XLOOKUP($A3,DataColumnRange,_xlfn.XLOOKUP(J$1,dataRowRange,ActualDataRange))</f>
        <v>ATL</v>
      </c>
      <c r="K3" s="31" t="str" cm="1">
        <f t="array" ref="K3">_xlfn.XLOOKUP($A3,DataColumnRange,_xlfn.XLOOKUP(K$1,dataRowRange,ActualDataRange))</f>
        <v>Day Old Chicks</v>
      </c>
      <c r="L3" s="31" t="str" cm="1">
        <f t="array" ref="L3">_xlfn.XLOOKUP($A3,DataColumnRange,_xlfn.XLOOKUP(L$1,dataRowRange,ActualDataRange))</f>
        <v>Test Pet and Live</v>
      </c>
      <c r="M3" s="31" cm="1">
        <f t="array" ref="M3">_xlfn.XLOOKUP($A3,DataColumnRange,_xlfn.XLOOKUP(M$1,dataRowRange,ActualDataRange))</f>
        <v>10</v>
      </c>
      <c r="N3" s="31" t="str" cm="1">
        <f t="array" ref="N3">_xlfn.XLOOKUP($A3,DataColumnRange,_xlfn.XLOOKUP(N$1,dataRowRange,ActualDataRange))</f>
        <v>LB</v>
      </c>
      <c r="O3" s="31" cm="1">
        <f t="array" ref="O3">_xlfn.XLOOKUP($A3,DataColumnRange,_xlfn.XLOOKUP(O$1,dataRowRange,ActualDataRange))</f>
        <v>1</v>
      </c>
      <c r="P3" s="31" cm="1">
        <f t="array" ref="P3">_xlfn.XLOOKUP($A3,DataColumnRange,_xlfn.XLOOKUP(P$1,dataRowRange,ActualDataRange))</f>
        <v>10</v>
      </c>
      <c r="Q3" s="31" cm="1">
        <f t="array" ref="Q3">_xlfn.XLOOKUP($A3,DataColumnRange,_xlfn.XLOOKUP(Q$1,dataRowRange,ActualDataRange))</f>
        <v>10</v>
      </c>
      <c r="R3" s="31" cm="1">
        <f t="array" ref="R3">_xlfn.XLOOKUP($A3,DataColumnRange,_xlfn.XLOOKUP(R$1,dataRowRange,ActualDataRange))</f>
        <v>10</v>
      </c>
      <c r="S3" s="31" t="str" cm="1">
        <f t="array" ref="S3">_xlfn.XLOOKUP($A3,DataColumnRange,_xlfn.XLOOKUP(S$1,dataRowRange,ActualDataRange))</f>
        <v>IN</v>
      </c>
      <c r="T3" s="31" t="str" cm="1">
        <f t="array" ref="T3">_xlfn.XLOOKUP($A3,DataColumnRange,_xlfn.XLOOKUP(T$1,dataRowRange,ActualDataRange))</f>
        <v>Cubic Feet</v>
      </c>
      <c r="U3" s="31" t="str" cm="1">
        <f t="array" ref="U3">_xlfn.XLOOKUP($A3,DataColumnRange,_xlfn.XLOOKUP(U$1,dataRowRange,ActualDataRange))</f>
        <v>No</v>
      </c>
      <c r="V3" s="31" t="str" cm="1">
        <f t="array" ref="V3">_xlfn.XLOOKUP($A3,DataColumnRange,_xlfn.XLOOKUP(V$1,dataRowRange,ActualDataRange))</f>
        <v>No</v>
      </c>
      <c r="W3" s="31" t="str" cm="1">
        <f t="array" ref="W3">_xlfn.XLOOKUP($A3,DataColumnRange,_xlfn.XLOOKUP(W$1,dataRowRange,ActualDataRange))</f>
        <v>No</v>
      </c>
      <c r="X3" s="31" cm="1">
        <f t="array" ref="X3">_xlfn.XLOOKUP($A3,DataColumnRange,_xlfn.XLOOKUP(X$1,dataRowRange,ActualDataRange))</f>
        <v>2</v>
      </c>
      <c r="Y3" s="31" t="str" cm="1">
        <f t="array" ref="Y3">_xlfn.XLOOKUP($A3,DataColumnRange,_xlfn.XLOOKUP(Y$1,dataRowRange,ActualDataRange))</f>
        <v>No</v>
      </c>
      <c r="Z3" s="31" t="str" cm="1">
        <f t="array" ref="Z3">_xlfn.XLOOKUP($A3,DataColumnRange,_xlfn.XLOOKUP(Z$1,dataRowRange,ActualDataRange))</f>
        <v>NA</v>
      </c>
      <c r="AA3" s="31" t="str" cm="1">
        <f t="array" ref="AA3">_xlfn.XLOOKUP($A3,DataColumnRange,_xlfn.XLOOKUP(AA$1,dataRowRange,ActualDataRange))</f>
        <v>000260018</v>
      </c>
      <c r="AB3" s="31" t="str" cm="1">
        <f t="array" ref="AB3">_xlfn.XLOOKUP($A3,DataColumnRange,_xlfn.XLOOKUP(AB$1,dataRowRange,ActualDataRange))</f>
        <v>GeneralCargoTemplate</v>
      </c>
      <c r="AC3" s="31" t="str" cm="1">
        <f t="array" ref="AC3">_xlfn.XLOOKUP($A3,DataColumnRange,_xlfn.XLOOKUP(AC$1,dataRowRange,ActualDataRange))</f>
        <v>CreditCard</v>
      </c>
      <c r="AD3" s="31" t="str" cm="1">
        <f t="array" ref="AD3">_xlfn.XLOOKUP($A3,DataColumnRange,_xlfn.XLOOKUP(AD$1,dataRowRange,ActualDataRange))</f>
        <v>NA</v>
      </c>
      <c r="AE3" s="31" t="str" cm="1">
        <f t="array" ref="AE3">_xlfn.XLOOKUP($A3,DataColumnRange,_xlfn.XLOOKUP(AE$1,dataRowRange,ActualDataRange))</f>
        <v>Test1</v>
      </c>
      <c r="AF3" s="31" t="str" cm="1">
        <f t="array" ref="AF3">_xlfn.XLOOKUP($A3,DataColumnRange,_xlfn.XLOOKUP(AF$1,dataRowRange,ActualDataRange))</f>
        <v>Test2</v>
      </c>
      <c r="AG3" s="31" t="str" cm="1">
        <f t="array" ref="AG3">_xlfn.XLOOKUP($A3,DataColumnRange,_xlfn.XLOOKUP(AG$1,dataRowRange,ActualDataRange))</f>
        <v>Atlanta</v>
      </c>
      <c r="AH3" s="31" t="str" cm="1">
        <f t="array" ref="AH3">_xlfn.XLOOKUP($A3,DataColumnRange,_xlfn.XLOOKUP(AH$1,dataRowRange,ActualDataRange))</f>
        <v>Georgia</v>
      </c>
      <c r="AI3" s="31" cm="1">
        <f t="array" ref="AI3">_xlfn.XLOOKUP($A3,DataColumnRange,_xlfn.XLOOKUP(AI$1,dataRowRange,ActualDataRange))</f>
        <v>55055</v>
      </c>
      <c r="AJ3" s="31" t="str" cm="1">
        <f t="array" ref="AJ3">_xlfn.XLOOKUP($A3,DataColumnRange,_xlfn.XLOOKUP(AJ$1,dataRowRange,ActualDataRange))</f>
        <v>000075010</v>
      </c>
      <c r="AK3" s="31" t="str" cm="1">
        <f t="array" ref="AK3">_xlfn.XLOOKUP($A3,DataColumnRange,_xlfn.XLOOKUP(AK$1,dataRowRange,ActualDataRange))</f>
        <v>Domestic</v>
      </c>
      <c r="AL3" s="31" cm="1">
        <f t="array" ref="AL3">_xlfn.XLOOKUP($A3,DataColumnRange,_xlfn.XLOOKUP(AL$1,dataRowRange,ActualDataRange))</f>
        <v>0</v>
      </c>
    </row>
    <row r="4" spans="1:38" ht="17" thickBot="1">
      <c r="A4" s="75" t="s">
        <v>395</v>
      </c>
      <c r="B4" s="32" t="s">
        <v>209</v>
      </c>
      <c r="C4" s="32" t="s">
        <v>223</v>
      </c>
      <c r="D4" s="24" t="str">
        <f>IF(TestCaseConfig!$B$3="Yes","Yes","No")</f>
        <v>Yes</v>
      </c>
      <c r="E4" s="31" t="str" cm="1">
        <f t="array" ref="E4">_xlfn.XLOOKUP($A4,DataColumnRange,_xlfn.XLOOKUP(E$1,dataRowRange,ActualDataRange))</f>
        <v>sumit.choudhary@delta.com</v>
      </c>
      <c r="F4" s="31" t="str" cm="1">
        <f t="array" ref="F4">_xlfn.XLOOKUP($A4,DataColumnRange,_xlfn.XLOOKUP(F$1,dataRowRange,ActualDataRange))</f>
        <v>Delta2</v>
      </c>
      <c r="G4" s="31" t="b" cm="1">
        <f t="array" ref="G4">_xlfn.XLOOKUP($A4,DataColumnRange,_xlfn.XLOOKUP(G$1,dataRowRange,ActualDataRange))</f>
        <v>1</v>
      </c>
      <c r="H4" s="31" t="str" cm="1">
        <f t="array" ref="H4">_xlfn.XLOOKUP($A4,DataColumnRange,_xlfn.XLOOKUP(H$1,dataRowRange,ActualDataRange))</f>
        <v>NA</v>
      </c>
      <c r="I4" s="31" t="str" cm="1">
        <f t="array" ref="I4">_xlfn.XLOOKUP($A4,DataColumnRange,_xlfn.XLOOKUP(I$1,dataRowRange,ActualDataRange))</f>
        <v>JFK</v>
      </c>
      <c r="J4" s="31" t="str" cm="1">
        <f t="array" ref="J4">_xlfn.XLOOKUP($A4,DataColumnRange,_xlfn.XLOOKUP(J$1,dataRowRange,ActualDataRange))</f>
        <v>ATL</v>
      </c>
      <c r="K4" s="31" t="str" cm="1">
        <f t="array" ref="K4">_xlfn.XLOOKUP($A4,DataColumnRange,_xlfn.XLOOKUP(K$1,dataRowRange,ActualDataRange))</f>
        <v>Lab Animals - e.g. Mice</v>
      </c>
      <c r="L4" s="31" t="str" cm="1">
        <f t="array" ref="L4">_xlfn.XLOOKUP($A4,DataColumnRange,_xlfn.XLOOKUP(L$1,dataRowRange,ActualDataRange))</f>
        <v>Test Pet and Live</v>
      </c>
      <c r="M4" s="31" cm="1">
        <f t="array" ref="M4">_xlfn.XLOOKUP($A4,DataColumnRange,_xlfn.XLOOKUP(M$1,dataRowRange,ActualDataRange))</f>
        <v>10</v>
      </c>
      <c r="N4" s="31" t="str" cm="1">
        <f t="array" ref="N4">_xlfn.XLOOKUP($A4,DataColumnRange,_xlfn.XLOOKUP(N$1,dataRowRange,ActualDataRange))</f>
        <v>LB</v>
      </c>
      <c r="O4" s="31" cm="1">
        <f t="array" ref="O4">_xlfn.XLOOKUP($A4,DataColumnRange,_xlfn.XLOOKUP(O$1,dataRowRange,ActualDataRange))</f>
        <v>1</v>
      </c>
      <c r="P4" s="31" cm="1">
        <f t="array" ref="P4">_xlfn.XLOOKUP($A4,DataColumnRange,_xlfn.XLOOKUP(P$1,dataRowRange,ActualDataRange))</f>
        <v>10</v>
      </c>
      <c r="Q4" s="31" cm="1">
        <f t="array" ref="Q4">_xlfn.XLOOKUP($A4,DataColumnRange,_xlfn.XLOOKUP(Q$1,dataRowRange,ActualDataRange))</f>
        <v>10</v>
      </c>
      <c r="R4" s="31" cm="1">
        <f t="array" ref="R4">_xlfn.XLOOKUP($A4,DataColumnRange,_xlfn.XLOOKUP(R$1,dataRowRange,ActualDataRange))</f>
        <v>10</v>
      </c>
      <c r="S4" s="31" t="str" cm="1">
        <f t="array" ref="S4">_xlfn.XLOOKUP($A4,DataColumnRange,_xlfn.XLOOKUP(S$1,dataRowRange,ActualDataRange))</f>
        <v>IN</v>
      </c>
      <c r="T4" s="31" t="str" cm="1">
        <f t="array" ref="T4">_xlfn.XLOOKUP($A4,DataColumnRange,_xlfn.XLOOKUP(T$1,dataRowRange,ActualDataRange))</f>
        <v>Cubic Feet</v>
      </c>
      <c r="U4" s="31" t="str" cm="1">
        <f t="array" ref="U4">_xlfn.XLOOKUP($A4,DataColumnRange,_xlfn.XLOOKUP(U$1,dataRowRange,ActualDataRange))</f>
        <v>No</v>
      </c>
      <c r="V4" s="31" t="str" cm="1">
        <f t="array" ref="V4">_xlfn.XLOOKUP($A4,DataColumnRange,_xlfn.XLOOKUP(V$1,dataRowRange,ActualDataRange))</f>
        <v>No</v>
      </c>
      <c r="W4" s="31" t="str" cm="1">
        <f t="array" ref="W4">_xlfn.XLOOKUP($A4,DataColumnRange,_xlfn.XLOOKUP(W$1,dataRowRange,ActualDataRange))</f>
        <v>No</v>
      </c>
      <c r="X4" s="31" cm="1">
        <f t="array" ref="X4">_xlfn.XLOOKUP($A4,DataColumnRange,_xlfn.XLOOKUP(X$1,dataRowRange,ActualDataRange))</f>
        <v>2</v>
      </c>
      <c r="Y4" s="31" t="str" cm="1">
        <f t="array" ref="Y4">_xlfn.XLOOKUP($A4,DataColumnRange,_xlfn.XLOOKUP(Y$1,dataRowRange,ActualDataRange))</f>
        <v>No</v>
      </c>
      <c r="Z4" s="31" t="str" cm="1">
        <f t="array" ref="Z4">_xlfn.XLOOKUP($A4,DataColumnRange,_xlfn.XLOOKUP(Z$1,dataRowRange,ActualDataRange))</f>
        <v>NA</v>
      </c>
      <c r="AA4" s="31" t="str" cm="1">
        <f t="array" ref="AA4">_xlfn.XLOOKUP($A4,DataColumnRange,_xlfn.XLOOKUP(AA$1,dataRowRange,ActualDataRange))</f>
        <v>000260018</v>
      </c>
      <c r="AB4" s="31" t="str" cm="1">
        <f t="array" ref="AB4">_xlfn.XLOOKUP($A4,DataColumnRange,_xlfn.XLOOKUP(AB$1,dataRowRange,ActualDataRange))</f>
        <v>GeneralCargoTemplate</v>
      </c>
      <c r="AC4" s="31" t="str" cm="1">
        <f t="array" ref="AC4">_xlfn.XLOOKUP($A4,DataColumnRange,_xlfn.XLOOKUP(AC$1,dataRowRange,ActualDataRange))</f>
        <v>CreditCard</v>
      </c>
      <c r="AD4" s="31" t="str" cm="1">
        <f t="array" ref="AD4">_xlfn.XLOOKUP($A4,DataColumnRange,_xlfn.XLOOKUP(AD$1,dataRowRange,ActualDataRange))</f>
        <v>NA</v>
      </c>
      <c r="AE4" s="31" t="str" cm="1">
        <f t="array" ref="AE4">_xlfn.XLOOKUP($A4,DataColumnRange,_xlfn.XLOOKUP(AE$1,dataRowRange,ActualDataRange))</f>
        <v>Test1</v>
      </c>
      <c r="AF4" s="31" t="str" cm="1">
        <f t="array" ref="AF4">_xlfn.XLOOKUP($A4,DataColumnRange,_xlfn.XLOOKUP(AF$1,dataRowRange,ActualDataRange))</f>
        <v>Test2</v>
      </c>
      <c r="AG4" s="31" t="str" cm="1">
        <f t="array" ref="AG4">_xlfn.XLOOKUP($A4,DataColumnRange,_xlfn.XLOOKUP(AG$1,dataRowRange,ActualDataRange))</f>
        <v>Atlanta</v>
      </c>
      <c r="AH4" s="31" t="str" cm="1">
        <f t="array" ref="AH4">_xlfn.XLOOKUP($A4,DataColumnRange,_xlfn.XLOOKUP(AH$1,dataRowRange,ActualDataRange))</f>
        <v>Georgia</v>
      </c>
      <c r="AI4" s="31" cm="1">
        <f t="array" ref="AI4">_xlfn.XLOOKUP($A4,DataColumnRange,_xlfn.XLOOKUP(AI$1,dataRowRange,ActualDataRange))</f>
        <v>55055</v>
      </c>
      <c r="AJ4" s="31" t="str" cm="1">
        <f t="array" ref="AJ4">_xlfn.XLOOKUP($A4,DataColumnRange,_xlfn.XLOOKUP(AJ$1,dataRowRange,ActualDataRange))</f>
        <v>000075010</v>
      </c>
      <c r="AK4" s="31" t="str" cm="1">
        <f t="array" ref="AK4">_xlfn.XLOOKUP($A4,DataColumnRange,_xlfn.XLOOKUP(AK$1,dataRowRange,ActualDataRange))</f>
        <v>Domestic</v>
      </c>
      <c r="AL4" s="31" cm="1">
        <f t="array" ref="AL4">_xlfn.XLOOKUP($A4,DataColumnRange,_xlfn.XLOOKUP(AL$1,dataRowRange,ActualDataRange))</f>
        <v>0</v>
      </c>
    </row>
    <row r="5" spans="1:38" ht="17" thickBot="1">
      <c r="A5" s="75" t="s">
        <v>396</v>
      </c>
      <c r="B5" s="32" t="s">
        <v>209</v>
      </c>
      <c r="C5" s="32" t="s">
        <v>223</v>
      </c>
      <c r="D5" s="24" t="str">
        <f>IF(TestCaseConfig!$B$3="Yes","Yes","No")</f>
        <v>Yes</v>
      </c>
      <c r="E5" s="31" t="str" cm="1">
        <f t="array" ref="E5">_xlfn.XLOOKUP($A5,DataColumnRange,_xlfn.XLOOKUP(E$1,dataRowRange,ActualDataRange))</f>
        <v>sumit.choudhary@delta.com</v>
      </c>
      <c r="F5" s="31" t="str" cm="1">
        <f t="array" ref="F5">_xlfn.XLOOKUP($A5,DataColumnRange,_xlfn.XLOOKUP(F$1,dataRowRange,ActualDataRange))</f>
        <v>Delta2</v>
      </c>
      <c r="G5" s="31" t="b" cm="1">
        <f t="array" ref="G5">_xlfn.XLOOKUP($A5,DataColumnRange,_xlfn.XLOOKUP(G$1,dataRowRange,ActualDataRange))</f>
        <v>1</v>
      </c>
      <c r="H5" s="31" t="str" cm="1">
        <f t="array" ref="H5">_xlfn.XLOOKUP($A5,DataColumnRange,_xlfn.XLOOKUP(H$1,dataRowRange,ActualDataRange))</f>
        <v>NA</v>
      </c>
      <c r="I5" s="31" t="str" cm="1">
        <f t="array" ref="I5">_xlfn.XLOOKUP($A5,DataColumnRange,_xlfn.XLOOKUP(I$1,dataRowRange,ActualDataRange))</f>
        <v>JFK</v>
      </c>
      <c r="J5" s="31" t="str" cm="1">
        <f t="array" ref="J5">_xlfn.XLOOKUP($A5,DataColumnRange,_xlfn.XLOOKUP(J$1,dataRowRange,ActualDataRange))</f>
        <v>ATL</v>
      </c>
      <c r="K5" s="31" t="str" cm="1">
        <f t="array" ref="K5">_xlfn.XLOOKUP($A5,DataColumnRange,_xlfn.XLOOKUP(K$1,dataRowRange,ActualDataRange))</f>
        <v>Other Warm Blooded Animal</v>
      </c>
      <c r="L5" s="31" t="str" cm="1">
        <f t="array" ref="L5">_xlfn.XLOOKUP($A5,DataColumnRange,_xlfn.XLOOKUP(L$1,dataRowRange,ActualDataRange))</f>
        <v>Test Pet and Live</v>
      </c>
      <c r="M5" s="31" cm="1">
        <f t="array" ref="M5">_xlfn.XLOOKUP($A5,DataColumnRange,_xlfn.XLOOKUP(M$1,dataRowRange,ActualDataRange))</f>
        <v>10</v>
      </c>
      <c r="N5" s="31" t="str" cm="1">
        <f t="array" ref="N5">_xlfn.XLOOKUP($A5,DataColumnRange,_xlfn.XLOOKUP(N$1,dataRowRange,ActualDataRange))</f>
        <v>LB</v>
      </c>
      <c r="O5" s="31" cm="1">
        <f t="array" ref="O5">_xlfn.XLOOKUP($A5,DataColumnRange,_xlfn.XLOOKUP(O$1,dataRowRange,ActualDataRange))</f>
        <v>1</v>
      </c>
      <c r="P5" s="31" cm="1">
        <f t="array" ref="P5">_xlfn.XLOOKUP($A5,DataColumnRange,_xlfn.XLOOKUP(P$1,dataRowRange,ActualDataRange))</f>
        <v>10</v>
      </c>
      <c r="Q5" s="31" cm="1">
        <f t="array" ref="Q5">_xlfn.XLOOKUP($A5,DataColumnRange,_xlfn.XLOOKUP(Q$1,dataRowRange,ActualDataRange))</f>
        <v>10</v>
      </c>
      <c r="R5" s="31" cm="1">
        <f t="array" ref="R5">_xlfn.XLOOKUP($A5,DataColumnRange,_xlfn.XLOOKUP(R$1,dataRowRange,ActualDataRange))</f>
        <v>10</v>
      </c>
      <c r="S5" s="31" t="str" cm="1">
        <f t="array" ref="S5">_xlfn.XLOOKUP($A5,DataColumnRange,_xlfn.XLOOKUP(S$1,dataRowRange,ActualDataRange))</f>
        <v>IN</v>
      </c>
      <c r="T5" s="31" t="str" cm="1">
        <f t="array" ref="T5">_xlfn.XLOOKUP($A5,DataColumnRange,_xlfn.XLOOKUP(T$1,dataRowRange,ActualDataRange))</f>
        <v>Cubic Feet</v>
      </c>
      <c r="U5" s="31" t="str" cm="1">
        <f t="array" ref="U5">_xlfn.XLOOKUP($A5,DataColumnRange,_xlfn.XLOOKUP(U$1,dataRowRange,ActualDataRange))</f>
        <v>No</v>
      </c>
      <c r="V5" s="31" t="str" cm="1">
        <f t="array" ref="V5">_xlfn.XLOOKUP($A5,DataColumnRange,_xlfn.XLOOKUP(V$1,dataRowRange,ActualDataRange))</f>
        <v>No</v>
      </c>
      <c r="W5" s="31" t="str" cm="1">
        <f t="array" ref="W5">_xlfn.XLOOKUP($A5,DataColumnRange,_xlfn.XLOOKUP(W$1,dataRowRange,ActualDataRange))</f>
        <v>No</v>
      </c>
      <c r="X5" s="31" cm="1">
        <f t="array" ref="X5">_xlfn.XLOOKUP($A5,DataColumnRange,_xlfn.XLOOKUP(X$1,dataRowRange,ActualDataRange))</f>
        <v>2</v>
      </c>
      <c r="Y5" s="31" t="str" cm="1">
        <f t="array" ref="Y5">_xlfn.XLOOKUP($A5,DataColumnRange,_xlfn.XLOOKUP(Y$1,dataRowRange,ActualDataRange))</f>
        <v>No</v>
      </c>
      <c r="Z5" s="31" t="str" cm="1">
        <f t="array" ref="Z5">_xlfn.XLOOKUP($A5,DataColumnRange,_xlfn.XLOOKUP(Z$1,dataRowRange,ActualDataRange))</f>
        <v>NA</v>
      </c>
      <c r="AA5" s="31" t="str" cm="1">
        <f t="array" ref="AA5">_xlfn.XLOOKUP($A5,DataColumnRange,_xlfn.XLOOKUP(AA$1,dataRowRange,ActualDataRange))</f>
        <v>000260018</v>
      </c>
      <c r="AB5" s="31" t="str" cm="1">
        <f t="array" ref="AB5">_xlfn.XLOOKUP($A5,DataColumnRange,_xlfn.XLOOKUP(AB$1,dataRowRange,ActualDataRange))</f>
        <v>GeneralCargoTemplate</v>
      </c>
      <c r="AC5" s="31" t="str" cm="1">
        <f t="array" ref="AC5">_xlfn.XLOOKUP($A5,DataColumnRange,_xlfn.XLOOKUP(AC$1,dataRowRange,ActualDataRange))</f>
        <v>CreditCard</v>
      </c>
      <c r="AD5" s="31" t="str" cm="1">
        <f t="array" ref="AD5">_xlfn.XLOOKUP($A5,DataColumnRange,_xlfn.XLOOKUP(AD$1,dataRowRange,ActualDataRange))</f>
        <v>NA</v>
      </c>
      <c r="AE5" s="31" t="str" cm="1">
        <f t="array" ref="AE5">_xlfn.XLOOKUP($A5,DataColumnRange,_xlfn.XLOOKUP(AE$1,dataRowRange,ActualDataRange))</f>
        <v>Test1</v>
      </c>
      <c r="AF5" s="31" t="str" cm="1">
        <f t="array" ref="AF5">_xlfn.XLOOKUP($A5,DataColumnRange,_xlfn.XLOOKUP(AF$1,dataRowRange,ActualDataRange))</f>
        <v>Test2</v>
      </c>
      <c r="AG5" s="31" t="str" cm="1">
        <f t="array" ref="AG5">_xlfn.XLOOKUP($A5,DataColumnRange,_xlfn.XLOOKUP(AG$1,dataRowRange,ActualDataRange))</f>
        <v>Atlanta</v>
      </c>
      <c r="AH5" s="31" t="str" cm="1">
        <f t="array" ref="AH5">_xlfn.XLOOKUP($A5,DataColumnRange,_xlfn.XLOOKUP(AH$1,dataRowRange,ActualDataRange))</f>
        <v>Georgia</v>
      </c>
      <c r="AI5" s="31" cm="1">
        <f t="array" ref="AI5">_xlfn.XLOOKUP($A5,DataColumnRange,_xlfn.XLOOKUP(AI$1,dataRowRange,ActualDataRange))</f>
        <v>55055</v>
      </c>
      <c r="AJ5" s="31" t="str" cm="1">
        <f t="array" ref="AJ5">_xlfn.XLOOKUP($A5,DataColumnRange,_xlfn.XLOOKUP(AJ$1,dataRowRange,ActualDataRange))</f>
        <v>000075010</v>
      </c>
      <c r="AK5" s="31" t="str" cm="1">
        <f t="array" ref="AK5">_xlfn.XLOOKUP($A5,DataColumnRange,_xlfn.XLOOKUP(AK$1,dataRowRange,ActualDataRange))</f>
        <v>Domestic</v>
      </c>
      <c r="AL5" s="31" cm="1">
        <f t="array" ref="AL5">_xlfn.XLOOKUP($A5,DataColumnRange,_xlfn.XLOOKUP(AL$1,dataRowRange,ActualDataRange))</f>
        <v>0</v>
      </c>
    </row>
    <row r="6" spans="1:38" ht="17" thickBot="1">
      <c r="A6" s="75" t="s">
        <v>397</v>
      </c>
      <c r="B6" s="32" t="s">
        <v>209</v>
      </c>
      <c r="C6" s="32" t="s">
        <v>223</v>
      </c>
      <c r="D6" s="24" t="str">
        <f>IF(TestCaseConfig!$B$3="Yes","Yes","No")</f>
        <v>Yes</v>
      </c>
      <c r="E6" s="31" t="str" cm="1">
        <f t="array" ref="E6">_xlfn.XLOOKUP($A6,DataColumnRange,_xlfn.XLOOKUP(E$1,dataRowRange,ActualDataRange))</f>
        <v>sumit.choudhary@delta.com</v>
      </c>
      <c r="F6" s="31" t="str" cm="1">
        <f t="array" ref="F6">_xlfn.XLOOKUP($A6,DataColumnRange,_xlfn.XLOOKUP(F$1,dataRowRange,ActualDataRange))</f>
        <v>Delta2</v>
      </c>
      <c r="G6" s="31" t="b" cm="1">
        <f t="array" ref="G6">_xlfn.XLOOKUP($A6,DataColumnRange,_xlfn.XLOOKUP(G$1,dataRowRange,ActualDataRange))</f>
        <v>1</v>
      </c>
      <c r="H6" s="31" t="str" cm="1">
        <f t="array" ref="H6">_xlfn.XLOOKUP($A6,DataColumnRange,_xlfn.XLOOKUP(H$1,dataRowRange,ActualDataRange))</f>
        <v>NA</v>
      </c>
      <c r="I6" s="31" t="str" cm="1">
        <f t="array" ref="I6">_xlfn.XLOOKUP($A6,DataColumnRange,_xlfn.XLOOKUP(I$1,dataRowRange,ActualDataRange))</f>
        <v>JFK</v>
      </c>
      <c r="J6" s="31" t="str" cm="1">
        <f t="array" ref="J6">_xlfn.XLOOKUP($A6,DataColumnRange,_xlfn.XLOOKUP(J$1,dataRowRange,ActualDataRange))</f>
        <v>ATL</v>
      </c>
      <c r="K6" s="31" t="str" cm="1">
        <f t="array" ref="K6">_xlfn.XLOOKUP($A6,DataColumnRange,_xlfn.XLOOKUP(K$1,dataRowRange,ActualDataRange))</f>
        <v>Reptile/Amphibian/etc.</v>
      </c>
      <c r="L6" s="31" t="str" cm="1">
        <f t="array" ref="L6">_xlfn.XLOOKUP($A6,DataColumnRange,_xlfn.XLOOKUP(L$1,dataRowRange,ActualDataRange))</f>
        <v>Test Pet and Live</v>
      </c>
      <c r="M6" s="31" cm="1">
        <f t="array" ref="M6">_xlfn.XLOOKUP($A6,DataColumnRange,_xlfn.XLOOKUP(M$1,dataRowRange,ActualDataRange))</f>
        <v>10</v>
      </c>
      <c r="N6" s="31" t="str" cm="1">
        <f t="array" ref="N6">_xlfn.XLOOKUP($A6,DataColumnRange,_xlfn.XLOOKUP(N$1,dataRowRange,ActualDataRange))</f>
        <v>LB</v>
      </c>
      <c r="O6" s="31" cm="1">
        <f t="array" ref="O6">_xlfn.XLOOKUP($A6,DataColumnRange,_xlfn.XLOOKUP(O$1,dataRowRange,ActualDataRange))</f>
        <v>1</v>
      </c>
      <c r="P6" s="31" cm="1">
        <f t="array" ref="P6">_xlfn.XLOOKUP($A6,DataColumnRange,_xlfn.XLOOKUP(P$1,dataRowRange,ActualDataRange))</f>
        <v>10</v>
      </c>
      <c r="Q6" s="31" cm="1">
        <f t="array" ref="Q6">_xlfn.XLOOKUP($A6,DataColumnRange,_xlfn.XLOOKUP(Q$1,dataRowRange,ActualDataRange))</f>
        <v>10</v>
      </c>
      <c r="R6" s="31" cm="1">
        <f t="array" ref="R6">_xlfn.XLOOKUP($A6,DataColumnRange,_xlfn.XLOOKUP(R$1,dataRowRange,ActualDataRange))</f>
        <v>10</v>
      </c>
      <c r="S6" s="31" t="str" cm="1">
        <f t="array" ref="S6">_xlfn.XLOOKUP($A6,DataColumnRange,_xlfn.XLOOKUP(S$1,dataRowRange,ActualDataRange))</f>
        <v>IN</v>
      </c>
      <c r="T6" s="31" t="str" cm="1">
        <f t="array" ref="T6">_xlfn.XLOOKUP($A6,DataColumnRange,_xlfn.XLOOKUP(T$1,dataRowRange,ActualDataRange))</f>
        <v>Cubic Feet</v>
      </c>
      <c r="U6" s="31" t="str" cm="1">
        <f t="array" ref="U6">_xlfn.XLOOKUP($A6,DataColumnRange,_xlfn.XLOOKUP(U$1,dataRowRange,ActualDataRange))</f>
        <v>No</v>
      </c>
      <c r="V6" s="31" t="str" cm="1">
        <f t="array" ref="V6">_xlfn.XLOOKUP($A6,DataColumnRange,_xlfn.XLOOKUP(V$1,dataRowRange,ActualDataRange))</f>
        <v>No</v>
      </c>
      <c r="W6" s="31" t="str" cm="1">
        <f t="array" ref="W6">_xlfn.XLOOKUP($A6,DataColumnRange,_xlfn.XLOOKUP(W$1,dataRowRange,ActualDataRange))</f>
        <v>No</v>
      </c>
      <c r="X6" s="31" cm="1">
        <f t="array" ref="X6">_xlfn.XLOOKUP($A6,DataColumnRange,_xlfn.XLOOKUP(X$1,dataRowRange,ActualDataRange))</f>
        <v>2</v>
      </c>
      <c r="Y6" s="31" t="str" cm="1">
        <f t="array" ref="Y6">_xlfn.XLOOKUP($A6,DataColumnRange,_xlfn.XLOOKUP(Y$1,dataRowRange,ActualDataRange))</f>
        <v>No</v>
      </c>
      <c r="Z6" s="31" t="str" cm="1">
        <f t="array" ref="Z6">_xlfn.XLOOKUP($A6,DataColumnRange,_xlfn.XLOOKUP(Z$1,dataRowRange,ActualDataRange))</f>
        <v>NA</v>
      </c>
      <c r="AA6" s="31" t="str" cm="1">
        <f t="array" ref="AA6">_xlfn.XLOOKUP($A6,DataColumnRange,_xlfn.XLOOKUP(AA$1,dataRowRange,ActualDataRange))</f>
        <v>000260018</v>
      </c>
      <c r="AB6" s="31" t="str" cm="1">
        <f t="array" ref="AB6">_xlfn.XLOOKUP($A6,DataColumnRange,_xlfn.XLOOKUP(AB$1,dataRowRange,ActualDataRange))</f>
        <v>GeneralCargoTemplate</v>
      </c>
      <c r="AC6" s="31" t="str" cm="1">
        <f t="array" ref="AC6">_xlfn.XLOOKUP($A6,DataColumnRange,_xlfn.XLOOKUP(AC$1,dataRowRange,ActualDataRange))</f>
        <v>CreditCard</v>
      </c>
      <c r="AD6" s="31" t="str" cm="1">
        <f t="array" ref="AD6">_xlfn.XLOOKUP($A6,DataColumnRange,_xlfn.XLOOKUP(AD$1,dataRowRange,ActualDataRange))</f>
        <v>NA</v>
      </c>
      <c r="AE6" s="31" t="str" cm="1">
        <f t="array" ref="AE6">_xlfn.XLOOKUP($A6,DataColumnRange,_xlfn.XLOOKUP(AE$1,dataRowRange,ActualDataRange))</f>
        <v>Test1</v>
      </c>
      <c r="AF6" s="31" t="str" cm="1">
        <f t="array" ref="AF6">_xlfn.XLOOKUP($A6,DataColumnRange,_xlfn.XLOOKUP(AF$1,dataRowRange,ActualDataRange))</f>
        <v>Test2</v>
      </c>
      <c r="AG6" s="31" t="str" cm="1">
        <f t="array" ref="AG6">_xlfn.XLOOKUP($A6,DataColumnRange,_xlfn.XLOOKUP(AG$1,dataRowRange,ActualDataRange))</f>
        <v>Atlanta</v>
      </c>
      <c r="AH6" s="31" t="str" cm="1">
        <f t="array" ref="AH6">_xlfn.XLOOKUP($A6,DataColumnRange,_xlfn.XLOOKUP(AH$1,dataRowRange,ActualDataRange))</f>
        <v>Georgia</v>
      </c>
      <c r="AI6" s="31" cm="1">
        <f t="array" ref="AI6">_xlfn.XLOOKUP($A6,DataColumnRange,_xlfn.XLOOKUP(AI$1,dataRowRange,ActualDataRange))</f>
        <v>55055</v>
      </c>
      <c r="AJ6" s="31" t="str" cm="1">
        <f t="array" ref="AJ6">_xlfn.XLOOKUP($A6,DataColumnRange,_xlfn.XLOOKUP(AJ$1,dataRowRange,ActualDataRange))</f>
        <v>000075010</v>
      </c>
      <c r="AK6" s="31" t="str" cm="1">
        <f t="array" ref="AK6">_xlfn.XLOOKUP($A6,DataColumnRange,_xlfn.XLOOKUP(AK$1,dataRowRange,ActualDataRange))</f>
        <v>Domestic</v>
      </c>
      <c r="AL6" s="31" cm="1">
        <f t="array" ref="AL6">_xlfn.XLOOKUP($A6,DataColumnRange,_xlfn.XLOOKUP(AL$1,dataRowRange,ActualDataRange))</f>
        <v>0</v>
      </c>
    </row>
    <row r="7" spans="1:38" ht="17" thickBot="1">
      <c r="A7" s="75" t="s">
        <v>398</v>
      </c>
      <c r="B7" s="32" t="s">
        <v>209</v>
      </c>
      <c r="C7" s="32" t="s">
        <v>223</v>
      </c>
      <c r="D7" s="24" t="str">
        <f>IF(TestCaseConfig!$B$3="Yes","Yes","No")</f>
        <v>Yes</v>
      </c>
      <c r="E7" s="31" t="str" cm="1">
        <f t="array" ref="E7">_xlfn.XLOOKUP($A7,DataColumnRange,_xlfn.XLOOKUP(E$1,dataRowRange,ActualDataRange))</f>
        <v>sumit.choudhary@delta.com</v>
      </c>
      <c r="F7" s="31" t="str" cm="1">
        <f t="array" ref="F7">_xlfn.XLOOKUP($A7,DataColumnRange,_xlfn.XLOOKUP(F$1,dataRowRange,ActualDataRange))</f>
        <v>Delta2</v>
      </c>
      <c r="G7" s="31" t="b" cm="1">
        <f t="array" ref="G7">_xlfn.XLOOKUP($A7,DataColumnRange,_xlfn.XLOOKUP(G$1,dataRowRange,ActualDataRange))</f>
        <v>1</v>
      </c>
      <c r="H7" s="31" t="str" cm="1">
        <f t="array" ref="H7">_xlfn.XLOOKUP($A7,DataColumnRange,_xlfn.XLOOKUP(H$1,dataRowRange,ActualDataRange))</f>
        <v>NA</v>
      </c>
      <c r="I7" s="31" t="str" cm="1">
        <f t="array" ref="I7">_xlfn.XLOOKUP($A7,DataColumnRange,_xlfn.XLOOKUP(I$1,dataRowRange,ActualDataRange))</f>
        <v>JFK</v>
      </c>
      <c r="J7" s="31" t="str" cm="1">
        <f t="array" ref="J7">_xlfn.XLOOKUP($A7,DataColumnRange,_xlfn.XLOOKUP(J$1,dataRowRange,ActualDataRange))</f>
        <v>ATL</v>
      </c>
      <c r="K7" s="31" t="str" cm="1">
        <f t="array" ref="K7">_xlfn.XLOOKUP($A7,DataColumnRange,_xlfn.XLOOKUP(K$1,dataRowRange,ActualDataRange))</f>
        <v>Tropical Fish</v>
      </c>
      <c r="L7" s="31" t="str" cm="1">
        <f t="array" ref="L7">_xlfn.XLOOKUP($A7,DataColumnRange,_xlfn.XLOOKUP(L$1,dataRowRange,ActualDataRange))</f>
        <v>Test Pet and Live</v>
      </c>
      <c r="M7" s="31" cm="1">
        <f t="array" ref="M7">_xlfn.XLOOKUP($A7,DataColumnRange,_xlfn.XLOOKUP(M$1,dataRowRange,ActualDataRange))</f>
        <v>10</v>
      </c>
      <c r="N7" s="31" t="str" cm="1">
        <f t="array" ref="N7">_xlfn.XLOOKUP($A7,DataColumnRange,_xlfn.XLOOKUP(N$1,dataRowRange,ActualDataRange))</f>
        <v>LB</v>
      </c>
      <c r="O7" s="31" cm="1">
        <f t="array" ref="O7">_xlfn.XLOOKUP($A7,DataColumnRange,_xlfn.XLOOKUP(O$1,dataRowRange,ActualDataRange))</f>
        <v>1</v>
      </c>
      <c r="P7" s="31" cm="1">
        <f t="array" ref="P7">_xlfn.XLOOKUP($A7,DataColumnRange,_xlfn.XLOOKUP(P$1,dataRowRange,ActualDataRange))</f>
        <v>10</v>
      </c>
      <c r="Q7" s="31" cm="1">
        <f t="array" ref="Q7">_xlfn.XLOOKUP($A7,DataColumnRange,_xlfn.XLOOKUP(Q$1,dataRowRange,ActualDataRange))</f>
        <v>10</v>
      </c>
      <c r="R7" s="31" cm="1">
        <f t="array" ref="R7">_xlfn.XLOOKUP($A7,DataColumnRange,_xlfn.XLOOKUP(R$1,dataRowRange,ActualDataRange))</f>
        <v>10</v>
      </c>
      <c r="S7" s="31" t="str" cm="1">
        <f t="array" ref="S7">_xlfn.XLOOKUP($A7,DataColumnRange,_xlfn.XLOOKUP(S$1,dataRowRange,ActualDataRange))</f>
        <v>IN</v>
      </c>
      <c r="T7" s="31" t="str" cm="1">
        <f t="array" ref="T7">_xlfn.XLOOKUP($A7,DataColumnRange,_xlfn.XLOOKUP(T$1,dataRowRange,ActualDataRange))</f>
        <v>Cubic Feet</v>
      </c>
      <c r="U7" s="31" t="str" cm="1">
        <f t="array" ref="U7">_xlfn.XLOOKUP($A7,DataColumnRange,_xlfn.XLOOKUP(U$1,dataRowRange,ActualDataRange))</f>
        <v>No</v>
      </c>
      <c r="V7" s="31" t="str" cm="1">
        <f t="array" ref="V7">_xlfn.XLOOKUP($A7,DataColumnRange,_xlfn.XLOOKUP(V$1,dataRowRange,ActualDataRange))</f>
        <v>No</v>
      </c>
      <c r="W7" s="31" t="str" cm="1">
        <f t="array" ref="W7">_xlfn.XLOOKUP($A7,DataColumnRange,_xlfn.XLOOKUP(W$1,dataRowRange,ActualDataRange))</f>
        <v>No</v>
      </c>
      <c r="X7" s="31" cm="1">
        <f t="array" ref="X7">_xlfn.XLOOKUP($A7,DataColumnRange,_xlfn.XLOOKUP(X$1,dataRowRange,ActualDataRange))</f>
        <v>2</v>
      </c>
      <c r="Y7" s="31" t="str" cm="1">
        <f t="array" ref="Y7">_xlfn.XLOOKUP($A7,DataColumnRange,_xlfn.XLOOKUP(Y$1,dataRowRange,ActualDataRange))</f>
        <v>No</v>
      </c>
      <c r="Z7" s="31" t="str" cm="1">
        <f t="array" ref="Z7">_xlfn.XLOOKUP($A7,DataColumnRange,_xlfn.XLOOKUP(Z$1,dataRowRange,ActualDataRange))</f>
        <v>NA</v>
      </c>
      <c r="AA7" s="31" t="str" cm="1">
        <f t="array" ref="AA7">_xlfn.XLOOKUP($A7,DataColumnRange,_xlfn.XLOOKUP(AA$1,dataRowRange,ActualDataRange))</f>
        <v>000260018</v>
      </c>
      <c r="AB7" s="31" t="str" cm="1">
        <f t="array" ref="AB7">_xlfn.XLOOKUP($A7,DataColumnRange,_xlfn.XLOOKUP(AB$1,dataRowRange,ActualDataRange))</f>
        <v>GeneralCargoTemplate</v>
      </c>
      <c r="AC7" s="31" t="str" cm="1">
        <f t="array" ref="AC7">_xlfn.XLOOKUP($A7,DataColumnRange,_xlfn.XLOOKUP(AC$1,dataRowRange,ActualDataRange))</f>
        <v>CreditCard</v>
      </c>
      <c r="AD7" s="31" t="str" cm="1">
        <f t="array" ref="AD7">_xlfn.XLOOKUP($A7,DataColumnRange,_xlfn.XLOOKUP(AD$1,dataRowRange,ActualDataRange))</f>
        <v>NA</v>
      </c>
      <c r="AE7" s="31" t="str" cm="1">
        <f t="array" ref="AE7">_xlfn.XLOOKUP($A7,DataColumnRange,_xlfn.XLOOKUP(AE$1,dataRowRange,ActualDataRange))</f>
        <v>Test1</v>
      </c>
      <c r="AF7" s="31" t="str" cm="1">
        <f t="array" ref="AF7">_xlfn.XLOOKUP($A7,DataColumnRange,_xlfn.XLOOKUP(AF$1,dataRowRange,ActualDataRange))</f>
        <v>Test2</v>
      </c>
      <c r="AG7" s="31" t="str" cm="1">
        <f t="array" ref="AG7">_xlfn.XLOOKUP($A7,DataColumnRange,_xlfn.XLOOKUP(AG$1,dataRowRange,ActualDataRange))</f>
        <v>Atlanta</v>
      </c>
      <c r="AH7" s="31" t="str" cm="1">
        <f t="array" ref="AH7">_xlfn.XLOOKUP($A7,DataColumnRange,_xlfn.XLOOKUP(AH$1,dataRowRange,ActualDataRange))</f>
        <v>Georgia</v>
      </c>
      <c r="AI7" s="31" cm="1">
        <f t="array" ref="AI7">_xlfn.XLOOKUP($A7,DataColumnRange,_xlfn.XLOOKUP(AI$1,dataRowRange,ActualDataRange))</f>
        <v>55055</v>
      </c>
      <c r="AJ7" s="31" t="str" cm="1">
        <f t="array" ref="AJ7">_xlfn.XLOOKUP($A7,DataColumnRange,_xlfn.XLOOKUP(AJ$1,dataRowRange,ActualDataRange))</f>
        <v>000075010</v>
      </c>
      <c r="AK7" s="31" t="str" cm="1">
        <f t="array" ref="AK7">_xlfn.XLOOKUP($A7,DataColumnRange,_xlfn.XLOOKUP(AK$1,dataRowRange,ActualDataRange))</f>
        <v>Domestic</v>
      </c>
      <c r="AL7" s="31" cm="1">
        <f t="array" ref="AL7">_xlfn.XLOOKUP($A7,DataColumnRange,_xlfn.XLOOKUP(AL$1,dataRowRange,ActualDataRange))</f>
        <v>0</v>
      </c>
    </row>
    <row r="8" spans="1:38" ht="17" thickBot="1">
      <c r="A8" s="75" t="s">
        <v>399</v>
      </c>
      <c r="B8" s="32" t="s">
        <v>209</v>
      </c>
      <c r="C8" s="32" t="s">
        <v>223</v>
      </c>
      <c r="D8" s="24" t="str">
        <f>IF(TestCaseConfig!$B$3="Yes","Yes","No")</f>
        <v>Yes</v>
      </c>
      <c r="E8" s="31" t="str" cm="1">
        <f t="array" ref="E8">_xlfn.XLOOKUP($A8,DataColumnRange,_xlfn.XLOOKUP(E$1,dataRowRange,ActualDataRange))</f>
        <v>sumit.choudhary@delta.com</v>
      </c>
      <c r="F8" s="31" t="str" cm="1">
        <f t="array" ref="F8">_xlfn.XLOOKUP($A8,DataColumnRange,_xlfn.XLOOKUP(F$1,dataRowRange,ActualDataRange))</f>
        <v>Delta2</v>
      </c>
      <c r="G8" s="31" t="b" cm="1">
        <f t="array" ref="G8">_xlfn.XLOOKUP($A8,DataColumnRange,_xlfn.XLOOKUP(G$1,dataRowRange,ActualDataRange))</f>
        <v>1</v>
      </c>
      <c r="H8" s="31" t="str" cm="1">
        <f t="array" ref="H8">_xlfn.XLOOKUP($A8,DataColumnRange,_xlfn.XLOOKUP(H$1,dataRowRange,ActualDataRange))</f>
        <v>NA</v>
      </c>
      <c r="I8" s="31" t="str" cm="1">
        <f t="array" ref="I8">_xlfn.XLOOKUP($A8,DataColumnRange,_xlfn.XLOOKUP(I$1,dataRowRange,ActualDataRange))</f>
        <v>JFK</v>
      </c>
      <c r="J8" s="31" t="str" cm="1">
        <f t="array" ref="J8">_xlfn.XLOOKUP($A8,DataColumnRange,_xlfn.XLOOKUP(J$1,dataRowRange,ActualDataRange))</f>
        <v>ATL</v>
      </c>
      <c r="K8" s="31" t="str" cm="1">
        <f t="array" ref="K8">_xlfn.XLOOKUP($A8,DataColumnRange,_xlfn.XLOOKUP(K$1,dataRowRange,ActualDataRange))</f>
        <v>Hatching Eggs</v>
      </c>
      <c r="L8" s="31" t="str" cm="1">
        <f t="array" ref="L8">_xlfn.XLOOKUP($A8,DataColumnRange,_xlfn.XLOOKUP(L$1,dataRowRange,ActualDataRange))</f>
        <v>Test Pet and Live</v>
      </c>
      <c r="M8" s="31" cm="1">
        <f t="array" ref="M8">_xlfn.XLOOKUP($A8,DataColumnRange,_xlfn.XLOOKUP(M$1,dataRowRange,ActualDataRange))</f>
        <v>10</v>
      </c>
      <c r="N8" s="31" t="str" cm="1">
        <f t="array" ref="N8">_xlfn.XLOOKUP($A8,DataColumnRange,_xlfn.XLOOKUP(N$1,dataRowRange,ActualDataRange))</f>
        <v>LB</v>
      </c>
      <c r="O8" s="31" cm="1">
        <f t="array" ref="O8">_xlfn.XLOOKUP($A8,DataColumnRange,_xlfn.XLOOKUP(O$1,dataRowRange,ActualDataRange))</f>
        <v>1</v>
      </c>
      <c r="P8" s="31" cm="1">
        <f t="array" ref="P8">_xlfn.XLOOKUP($A8,DataColumnRange,_xlfn.XLOOKUP(P$1,dataRowRange,ActualDataRange))</f>
        <v>10</v>
      </c>
      <c r="Q8" s="31" cm="1">
        <f t="array" ref="Q8">_xlfn.XLOOKUP($A8,DataColumnRange,_xlfn.XLOOKUP(Q$1,dataRowRange,ActualDataRange))</f>
        <v>10</v>
      </c>
      <c r="R8" s="31" cm="1">
        <f t="array" ref="R8">_xlfn.XLOOKUP($A8,DataColumnRange,_xlfn.XLOOKUP(R$1,dataRowRange,ActualDataRange))</f>
        <v>10</v>
      </c>
      <c r="S8" s="31" t="str" cm="1">
        <f t="array" ref="S8">_xlfn.XLOOKUP($A8,DataColumnRange,_xlfn.XLOOKUP(S$1,dataRowRange,ActualDataRange))</f>
        <v>IN</v>
      </c>
      <c r="T8" s="31" t="str" cm="1">
        <f t="array" ref="T8">_xlfn.XLOOKUP($A8,DataColumnRange,_xlfn.XLOOKUP(T$1,dataRowRange,ActualDataRange))</f>
        <v>Cubic Feet</v>
      </c>
      <c r="U8" s="31" t="str" cm="1">
        <f t="array" ref="U8">_xlfn.XLOOKUP($A8,DataColumnRange,_xlfn.XLOOKUP(U$1,dataRowRange,ActualDataRange))</f>
        <v>No</v>
      </c>
      <c r="V8" s="31" t="str" cm="1">
        <f t="array" ref="V8">_xlfn.XLOOKUP($A8,DataColumnRange,_xlfn.XLOOKUP(V$1,dataRowRange,ActualDataRange))</f>
        <v>No</v>
      </c>
      <c r="W8" s="31" t="str" cm="1">
        <f t="array" ref="W8">_xlfn.XLOOKUP($A8,DataColumnRange,_xlfn.XLOOKUP(W$1,dataRowRange,ActualDataRange))</f>
        <v>No</v>
      </c>
      <c r="X8" s="31" cm="1">
        <f t="array" ref="X8">_xlfn.XLOOKUP($A8,DataColumnRange,_xlfn.XLOOKUP(X$1,dataRowRange,ActualDataRange))</f>
        <v>2</v>
      </c>
      <c r="Y8" s="31" t="str" cm="1">
        <f t="array" ref="Y8">_xlfn.XLOOKUP($A8,DataColumnRange,_xlfn.XLOOKUP(Y$1,dataRowRange,ActualDataRange))</f>
        <v>No</v>
      </c>
      <c r="Z8" s="31" t="str" cm="1">
        <f t="array" ref="Z8">_xlfn.XLOOKUP($A8,DataColumnRange,_xlfn.XLOOKUP(Z$1,dataRowRange,ActualDataRange))</f>
        <v>NA</v>
      </c>
      <c r="AA8" s="31" t="str" cm="1">
        <f t="array" ref="AA8">_xlfn.XLOOKUP($A8,DataColumnRange,_xlfn.XLOOKUP(AA$1,dataRowRange,ActualDataRange))</f>
        <v>000260018</v>
      </c>
      <c r="AB8" s="31" t="str" cm="1">
        <f t="array" ref="AB8">_xlfn.XLOOKUP($A8,DataColumnRange,_xlfn.XLOOKUP(AB$1,dataRowRange,ActualDataRange))</f>
        <v>GeneralCargoTemplate</v>
      </c>
      <c r="AC8" s="31" t="str" cm="1">
        <f t="array" ref="AC8">_xlfn.XLOOKUP($A8,DataColumnRange,_xlfn.XLOOKUP(AC$1,dataRowRange,ActualDataRange))</f>
        <v>CreditCard</v>
      </c>
      <c r="AD8" s="31" t="str" cm="1">
        <f t="array" ref="AD8">_xlfn.XLOOKUP($A8,DataColumnRange,_xlfn.XLOOKUP(AD$1,dataRowRange,ActualDataRange))</f>
        <v>NA</v>
      </c>
      <c r="AE8" s="31" t="str" cm="1">
        <f t="array" ref="AE8">_xlfn.XLOOKUP($A8,DataColumnRange,_xlfn.XLOOKUP(AE$1,dataRowRange,ActualDataRange))</f>
        <v>Test1</v>
      </c>
      <c r="AF8" s="31" t="str" cm="1">
        <f t="array" ref="AF8">_xlfn.XLOOKUP($A8,DataColumnRange,_xlfn.XLOOKUP(AF$1,dataRowRange,ActualDataRange))</f>
        <v>Test2</v>
      </c>
      <c r="AG8" s="31" t="str" cm="1">
        <f t="array" ref="AG8">_xlfn.XLOOKUP($A8,DataColumnRange,_xlfn.XLOOKUP(AG$1,dataRowRange,ActualDataRange))</f>
        <v>Atlanta</v>
      </c>
      <c r="AH8" s="31" t="str" cm="1">
        <f t="array" ref="AH8">_xlfn.XLOOKUP($A8,DataColumnRange,_xlfn.XLOOKUP(AH$1,dataRowRange,ActualDataRange))</f>
        <v>Georgia</v>
      </c>
      <c r="AI8" s="31" cm="1">
        <f t="array" ref="AI8">_xlfn.XLOOKUP($A8,DataColumnRange,_xlfn.XLOOKUP(AI$1,dataRowRange,ActualDataRange))</f>
        <v>55055</v>
      </c>
      <c r="AJ8" s="31" t="str" cm="1">
        <f t="array" ref="AJ8">_xlfn.XLOOKUP($A8,DataColumnRange,_xlfn.XLOOKUP(AJ$1,dataRowRange,ActualDataRange))</f>
        <v>000075010</v>
      </c>
      <c r="AK8" s="31" t="str" cm="1">
        <f t="array" ref="AK8">_xlfn.XLOOKUP($A8,DataColumnRange,_xlfn.XLOOKUP(AK$1,dataRowRange,ActualDataRange))</f>
        <v>Domestic</v>
      </c>
      <c r="AL8" s="31" cm="1">
        <f t="array" ref="AL8">_xlfn.XLOOKUP($A8,DataColumnRange,_xlfn.XLOOKUP(AL$1,dataRowRange,ActualDataRange))</f>
        <v>0</v>
      </c>
    </row>
    <row r="9" spans="1:38" ht="17" thickBot="1">
      <c r="A9" s="75" t="s">
        <v>400</v>
      </c>
      <c r="B9" s="32" t="s">
        <v>209</v>
      </c>
      <c r="C9" s="32" t="s">
        <v>223</v>
      </c>
      <c r="D9" s="24" t="str">
        <f>IF(TestCaseConfig!$B$3="Yes","Yes","No")</f>
        <v>Yes</v>
      </c>
      <c r="E9" s="31" t="str" cm="1">
        <f t="array" ref="E9">_xlfn.XLOOKUP($A9,DataColumnRange,_xlfn.XLOOKUP(E$1,dataRowRange,ActualDataRange))</f>
        <v>sumit.choudhary@delta.com</v>
      </c>
      <c r="F9" s="31" t="str" cm="1">
        <f t="array" ref="F9">_xlfn.XLOOKUP($A9,DataColumnRange,_xlfn.XLOOKUP(F$1,dataRowRange,ActualDataRange))</f>
        <v>Delta2</v>
      </c>
      <c r="G9" s="31" t="b" cm="1">
        <f t="array" ref="G9">_xlfn.XLOOKUP($A9,DataColumnRange,_xlfn.XLOOKUP(G$1,dataRowRange,ActualDataRange))</f>
        <v>1</v>
      </c>
      <c r="H9" s="31" t="str" cm="1">
        <f t="array" ref="H9">_xlfn.XLOOKUP($A9,DataColumnRange,_xlfn.XLOOKUP(H$1,dataRowRange,ActualDataRange))</f>
        <v>NA</v>
      </c>
      <c r="I9" s="31" t="str" cm="1">
        <f t="array" ref="I9">_xlfn.XLOOKUP($A9,DataColumnRange,_xlfn.XLOOKUP(I$1,dataRowRange,ActualDataRange))</f>
        <v>JFK</v>
      </c>
      <c r="J9" s="31" t="str" cm="1">
        <f t="array" ref="J9">_xlfn.XLOOKUP($A9,DataColumnRange,_xlfn.XLOOKUP(J$1,dataRowRange,ActualDataRange))</f>
        <v>ATL</v>
      </c>
      <c r="K9" s="31" t="str" cm="1">
        <f t="array" ref="K9">_xlfn.XLOOKUP($A9,DataColumnRange,_xlfn.XLOOKUP(K$1,dataRowRange,ActualDataRange))</f>
        <v>Bird</v>
      </c>
      <c r="L9" s="31" t="str" cm="1">
        <f t="array" ref="L9">_xlfn.XLOOKUP($A9,DataColumnRange,_xlfn.XLOOKUP(L$1,dataRowRange,ActualDataRange))</f>
        <v>Test Pet and Live</v>
      </c>
      <c r="M9" s="31" cm="1">
        <f t="array" ref="M9">_xlfn.XLOOKUP($A9,DataColumnRange,_xlfn.XLOOKUP(M$1,dataRowRange,ActualDataRange))</f>
        <v>10</v>
      </c>
      <c r="N9" s="31" t="str" cm="1">
        <f t="array" ref="N9">_xlfn.XLOOKUP($A9,DataColumnRange,_xlfn.XLOOKUP(N$1,dataRowRange,ActualDataRange))</f>
        <v>LB</v>
      </c>
      <c r="O9" s="31" cm="1">
        <f t="array" ref="O9">_xlfn.XLOOKUP($A9,DataColumnRange,_xlfn.XLOOKUP(O$1,dataRowRange,ActualDataRange))</f>
        <v>1</v>
      </c>
      <c r="P9" s="31" cm="1">
        <f t="array" ref="P9">_xlfn.XLOOKUP($A9,DataColumnRange,_xlfn.XLOOKUP(P$1,dataRowRange,ActualDataRange))</f>
        <v>10</v>
      </c>
      <c r="Q9" s="31" cm="1">
        <f t="array" ref="Q9">_xlfn.XLOOKUP($A9,DataColumnRange,_xlfn.XLOOKUP(Q$1,dataRowRange,ActualDataRange))</f>
        <v>10</v>
      </c>
      <c r="R9" s="31" cm="1">
        <f t="array" ref="R9">_xlfn.XLOOKUP($A9,DataColumnRange,_xlfn.XLOOKUP(R$1,dataRowRange,ActualDataRange))</f>
        <v>10</v>
      </c>
      <c r="S9" s="31" t="str" cm="1">
        <f t="array" ref="S9">_xlfn.XLOOKUP($A9,DataColumnRange,_xlfn.XLOOKUP(S$1,dataRowRange,ActualDataRange))</f>
        <v>IN</v>
      </c>
      <c r="T9" s="31" t="str" cm="1">
        <f t="array" ref="T9">_xlfn.XLOOKUP($A9,DataColumnRange,_xlfn.XLOOKUP(T$1,dataRowRange,ActualDataRange))</f>
        <v>Cubic Feet</v>
      </c>
      <c r="U9" s="31" t="str" cm="1">
        <f t="array" ref="U9">_xlfn.XLOOKUP($A9,DataColumnRange,_xlfn.XLOOKUP(U$1,dataRowRange,ActualDataRange))</f>
        <v>No</v>
      </c>
      <c r="V9" s="31" t="str" cm="1">
        <f t="array" ref="V9">_xlfn.XLOOKUP($A9,DataColumnRange,_xlfn.XLOOKUP(V$1,dataRowRange,ActualDataRange))</f>
        <v>No</v>
      </c>
      <c r="W9" s="31" t="str" cm="1">
        <f t="array" ref="W9">_xlfn.XLOOKUP($A9,DataColumnRange,_xlfn.XLOOKUP(W$1,dataRowRange,ActualDataRange))</f>
        <v>No</v>
      </c>
      <c r="X9" s="31" cm="1">
        <f t="array" ref="X9">_xlfn.XLOOKUP($A9,DataColumnRange,_xlfn.XLOOKUP(X$1,dataRowRange,ActualDataRange))</f>
        <v>2</v>
      </c>
      <c r="Y9" s="31" t="str" cm="1">
        <f t="array" ref="Y9">_xlfn.XLOOKUP($A9,DataColumnRange,_xlfn.XLOOKUP(Y$1,dataRowRange,ActualDataRange))</f>
        <v>No</v>
      </c>
      <c r="Z9" s="31" t="str" cm="1">
        <f t="array" ref="Z9">_xlfn.XLOOKUP($A9,DataColumnRange,_xlfn.XLOOKUP(Z$1,dataRowRange,ActualDataRange))</f>
        <v>NA</v>
      </c>
      <c r="AA9" s="31" t="str" cm="1">
        <f t="array" ref="AA9">_xlfn.XLOOKUP($A9,DataColumnRange,_xlfn.XLOOKUP(AA$1,dataRowRange,ActualDataRange))</f>
        <v>000260018</v>
      </c>
      <c r="AB9" s="31" t="str" cm="1">
        <f t="array" ref="AB9">_xlfn.XLOOKUP($A9,DataColumnRange,_xlfn.XLOOKUP(AB$1,dataRowRange,ActualDataRange))</f>
        <v>GeneralCargoTemplate</v>
      </c>
      <c r="AC9" s="31" t="str" cm="1">
        <f t="array" ref="AC9">_xlfn.XLOOKUP($A9,DataColumnRange,_xlfn.XLOOKUP(AC$1,dataRowRange,ActualDataRange))</f>
        <v>CreditCard</v>
      </c>
      <c r="AD9" s="31" t="str" cm="1">
        <f t="array" ref="AD9">_xlfn.XLOOKUP($A9,DataColumnRange,_xlfn.XLOOKUP(AD$1,dataRowRange,ActualDataRange))</f>
        <v>NA</v>
      </c>
      <c r="AE9" s="31" t="str" cm="1">
        <f t="array" ref="AE9">_xlfn.XLOOKUP($A9,DataColumnRange,_xlfn.XLOOKUP(AE$1,dataRowRange,ActualDataRange))</f>
        <v>Test1</v>
      </c>
      <c r="AF9" s="31" t="str" cm="1">
        <f t="array" ref="AF9">_xlfn.XLOOKUP($A9,DataColumnRange,_xlfn.XLOOKUP(AF$1,dataRowRange,ActualDataRange))</f>
        <v>Test2</v>
      </c>
      <c r="AG9" s="31" t="str" cm="1">
        <f t="array" ref="AG9">_xlfn.XLOOKUP($A9,DataColumnRange,_xlfn.XLOOKUP(AG$1,dataRowRange,ActualDataRange))</f>
        <v>Atlanta</v>
      </c>
      <c r="AH9" s="31" t="str" cm="1">
        <f t="array" ref="AH9">_xlfn.XLOOKUP($A9,DataColumnRange,_xlfn.XLOOKUP(AH$1,dataRowRange,ActualDataRange))</f>
        <v>Georgia</v>
      </c>
      <c r="AI9" s="31" cm="1">
        <f t="array" ref="AI9">_xlfn.XLOOKUP($A9,DataColumnRange,_xlfn.XLOOKUP(AI$1,dataRowRange,ActualDataRange))</f>
        <v>55055</v>
      </c>
      <c r="AJ9" s="31" t="str" cm="1">
        <f t="array" ref="AJ9">_xlfn.XLOOKUP($A9,DataColumnRange,_xlfn.XLOOKUP(AJ$1,dataRowRange,ActualDataRange))</f>
        <v>171276181</v>
      </c>
      <c r="AK9" s="31" t="str" cm="1">
        <f t="array" ref="AK9">_xlfn.XLOOKUP($A9,DataColumnRange,_xlfn.XLOOKUP(AK$1,dataRowRange,ActualDataRange))</f>
        <v>International</v>
      </c>
      <c r="AL9" s="31" cm="1">
        <f t="array" ref="AL9">_xlfn.XLOOKUP($A9,DataColumnRange,_xlfn.XLOOKUP(AL$1,dataRowRange,ActualDataRange))</f>
        <v>0</v>
      </c>
    </row>
    <row r="10" spans="1:38" ht="17" thickBot="1">
      <c r="A10" s="75" t="s">
        <v>401</v>
      </c>
      <c r="B10" s="32" t="s">
        <v>209</v>
      </c>
      <c r="C10" s="32" t="s">
        <v>223</v>
      </c>
      <c r="D10" s="24" t="str">
        <f>IF(TestCaseConfig!$B$3="Yes","Yes","No")</f>
        <v>Yes</v>
      </c>
      <c r="E10" s="31" t="str" cm="1">
        <f t="array" ref="E10">_xlfn.XLOOKUP($A10,DataColumnRange,_xlfn.XLOOKUP(E$1,dataRowRange,ActualDataRange))</f>
        <v>sumit.choudhary@delta.com</v>
      </c>
      <c r="F10" s="31" t="str" cm="1">
        <f t="array" ref="F10">_xlfn.XLOOKUP($A10,DataColumnRange,_xlfn.XLOOKUP(F$1,dataRowRange,ActualDataRange))</f>
        <v>Delta2</v>
      </c>
      <c r="G10" s="31" t="b" cm="1">
        <f t="array" ref="G10">_xlfn.XLOOKUP($A10,DataColumnRange,_xlfn.XLOOKUP(G$1,dataRowRange,ActualDataRange))</f>
        <v>1</v>
      </c>
      <c r="H10" s="31" t="str" cm="1">
        <f t="array" ref="H10">_xlfn.XLOOKUP($A10,DataColumnRange,_xlfn.XLOOKUP(H$1,dataRowRange,ActualDataRange))</f>
        <v>NA</v>
      </c>
      <c r="I10" s="31" t="str" cm="1">
        <f t="array" ref="I10">_xlfn.XLOOKUP($A10,DataColumnRange,_xlfn.XLOOKUP(I$1,dataRowRange,ActualDataRange))</f>
        <v>JFK</v>
      </c>
      <c r="J10" s="31" t="str" cm="1">
        <f t="array" ref="J10">_xlfn.XLOOKUP($A10,DataColumnRange,_xlfn.XLOOKUP(J$1,dataRowRange,ActualDataRange))</f>
        <v>ATL</v>
      </c>
      <c r="K10" s="31" t="str" cm="1">
        <f t="array" ref="K10">_xlfn.XLOOKUP($A10,DataColumnRange,_xlfn.XLOOKUP(K$1,dataRowRange,ActualDataRange))</f>
        <v>Day Old Chicks</v>
      </c>
      <c r="L10" s="31" t="str" cm="1">
        <f t="array" ref="L10">_xlfn.XLOOKUP($A10,DataColumnRange,_xlfn.XLOOKUP(L$1,dataRowRange,ActualDataRange))</f>
        <v>Test Pet and Live</v>
      </c>
      <c r="M10" s="31" cm="1">
        <f t="array" ref="M10">_xlfn.XLOOKUP($A10,DataColumnRange,_xlfn.XLOOKUP(M$1,dataRowRange,ActualDataRange))</f>
        <v>10</v>
      </c>
      <c r="N10" s="31" t="str" cm="1">
        <f t="array" ref="N10">_xlfn.XLOOKUP($A10,DataColumnRange,_xlfn.XLOOKUP(N$1,dataRowRange,ActualDataRange))</f>
        <v>LB</v>
      </c>
      <c r="O10" s="31" cm="1">
        <f t="array" ref="O10">_xlfn.XLOOKUP($A10,DataColumnRange,_xlfn.XLOOKUP(O$1,dataRowRange,ActualDataRange))</f>
        <v>1</v>
      </c>
      <c r="P10" s="31" cm="1">
        <f t="array" ref="P10">_xlfn.XLOOKUP($A10,DataColumnRange,_xlfn.XLOOKUP(P$1,dataRowRange,ActualDataRange))</f>
        <v>10</v>
      </c>
      <c r="Q10" s="31" cm="1">
        <f t="array" ref="Q10">_xlfn.XLOOKUP($A10,DataColumnRange,_xlfn.XLOOKUP(Q$1,dataRowRange,ActualDataRange))</f>
        <v>10</v>
      </c>
      <c r="R10" s="31" cm="1">
        <f t="array" ref="R10">_xlfn.XLOOKUP($A10,DataColumnRange,_xlfn.XLOOKUP(R$1,dataRowRange,ActualDataRange))</f>
        <v>10</v>
      </c>
      <c r="S10" s="31" t="str" cm="1">
        <f t="array" ref="S10">_xlfn.XLOOKUP($A10,DataColumnRange,_xlfn.XLOOKUP(S$1,dataRowRange,ActualDataRange))</f>
        <v>IN</v>
      </c>
      <c r="T10" s="31" t="str" cm="1">
        <f t="array" ref="T10">_xlfn.XLOOKUP($A10,DataColumnRange,_xlfn.XLOOKUP(T$1,dataRowRange,ActualDataRange))</f>
        <v>Cubic Feet</v>
      </c>
      <c r="U10" s="31" t="str" cm="1">
        <f t="array" ref="U10">_xlfn.XLOOKUP($A10,DataColumnRange,_xlfn.XLOOKUP(U$1,dataRowRange,ActualDataRange))</f>
        <v>No</v>
      </c>
      <c r="V10" s="31" t="str" cm="1">
        <f t="array" ref="V10">_xlfn.XLOOKUP($A10,DataColumnRange,_xlfn.XLOOKUP(V$1,dataRowRange,ActualDataRange))</f>
        <v>No</v>
      </c>
      <c r="W10" s="31" t="str" cm="1">
        <f t="array" ref="W10">_xlfn.XLOOKUP($A10,DataColumnRange,_xlfn.XLOOKUP(W$1,dataRowRange,ActualDataRange))</f>
        <v>No</v>
      </c>
      <c r="X10" s="31" cm="1">
        <f t="array" ref="X10">_xlfn.XLOOKUP($A10,DataColumnRange,_xlfn.XLOOKUP(X$1,dataRowRange,ActualDataRange))</f>
        <v>2</v>
      </c>
      <c r="Y10" s="31" t="str" cm="1">
        <f t="array" ref="Y10">_xlfn.XLOOKUP($A10,DataColumnRange,_xlfn.XLOOKUP(Y$1,dataRowRange,ActualDataRange))</f>
        <v>No</v>
      </c>
      <c r="Z10" s="31" t="str" cm="1">
        <f t="array" ref="Z10">_xlfn.XLOOKUP($A10,DataColumnRange,_xlfn.XLOOKUP(Z$1,dataRowRange,ActualDataRange))</f>
        <v>NA</v>
      </c>
      <c r="AA10" s="31" t="str" cm="1">
        <f t="array" ref="AA10">_xlfn.XLOOKUP($A10,DataColumnRange,_xlfn.XLOOKUP(AA$1,dataRowRange,ActualDataRange))</f>
        <v>000260018</v>
      </c>
      <c r="AB10" s="31" t="str" cm="1">
        <f t="array" ref="AB10">_xlfn.XLOOKUP($A10,DataColumnRange,_xlfn.XLOOKUP(AB$1,dataRowRange,ActualDataRange))</f>
        <v>GeneralCargoTemplate</v>
      </c>
      <c r="AC10" s="31" t="str" cm="1">
        <f t="array" ref="AC10">_xlfn.XLOOKUP($A10,DataColumnRange,_xlfn.XLOOKUP(AC$1,dataRowRange,ActualDataRange))</f>
        <v>CreditCard</v>
      </c>
      <c r="AD10" s="31" t="str" cm="1">
        <f t="array" ref="AD10">_xlfn.XLOOKUP($A10,DataColumnRange,_xlfn.XLOOKUP(AD$1,dataRowRange,ActualDataRange))</f>
        <v>NA</v>
      </c>
      <c r="AE10" s="31" t="str" cm="1">
        <f t="array" ref="AE10">_xlfn.XLOOKUP($A10,DataColumnRange,_xlfn.XLOOKUP(AE$1,dataRowRange,ActualDataRange))</f>
        <v>Test1</v>
      </c>
      <c r="AF10" s="31" t="str" cm="1">
        <f t="array" ref="AF10">_xlfn.XLOOKUP($A10,DataColumnRange,_xlfn.XLOOKUP(AF$1,dataRowRange,ActualDataRange))</f>
        <v>Test2</v>
      </c>
      <c r="AG10" s="31" t="str" cm="1">
        <f t="array" ref="AG10">_xlfn.XLOOKUP($A10,DataColumnRange,_xlfn.XLOOKUP(AG$1,dataRowRange,ActualDataRange))</f>
        <v>Atlanta</v>
      </c>
      <c r="AH10" s="31" t="str" cm="1">
        <f t="array" ref="AH10">_xlfn.XLOOKUP($A10,DataColumnRange,_xlfn.XLOOKUP(AH$1,dataRowRange,ActualDataRange))</f>
        <v>Georgia</v>
      </c>
      <c r="AI10" s="31" cm="1">
        <f t="array" ref="AI10">_xlfn.XLOOKUP($A10,DataColumnRange,_xlfn.XLOOKUP(AI$1,dataRowRange,ActualDataRange))</f>
        <v>55055</v>
      </c>
      <c r="AJ10" s="31" t="str" cm="1">
        <f t="array" ref="AJ10">_xlfn.XLOOKUP($A10,DataColumnRange,_xlfn.XLOOKUP(AJ$1,dataRowRange,ActualDataRange))</f>
        <v>171276181</v>
      </c>
      <c r="AK10" s="31" t="str" cm="1">
        <f t="array" ref="AK10">_xlfn.XLOOKUP($A10,DataColumnRange,_xlfn.XLOOKUP(AK$1,dataRowRange,ActualDataRange))</f>
        <v>International</v>
      </c>
      <c r="AL10" s="31" cm="1">
        <f t="array" ref="AL10">_xlfn.XLOOKUP($A10,DataColumnRange,_xlfn.XLOOKUP(AL$1,dataRowRange,ActualDataRange))</f>
        <v>0</v>
      </c>
    </row>
    <row r="11" spans="1:38" ht="17" thickBot="1">
      <c r="A11" s="75" t="s">
        <v>402</v>
      </c>
      <c r="B11" s="32" t="s">
        <v>209</v>
      </c>
      <c r="C11" s="32" t="s">
        <v>223</v>
      </c>
      <c r="D11" s="24" t="str">
        <f>IF(TestCaseConfig!$B$3="Yes","Yes","No")</f>
        <v>Yes</v>
      </c>
      <c r="E11" s="31" t="str" cm="1">
        <f t="array" ref="E11">_xlfn.XLOOKUP($A11,DataColumnRange,_xlfn.XLOOKUP(E$1,dataRowRange,ActualDataRange))</f>
        <v>sumit.choudhary@delta.com</v>
      </c>
      <c r="F11" s="31" t="str" cm="1">
        <f t="array" ref="F11">_xlfn.XLOOKUP($A11,DataColumnRange,_xlfn.XLOOKUP(F$1,dataRowRange,ActualDataRange))</f>
        <v>Delta2</v>
      </c>
      <c r="G11" s="31" t="b" cm="1">
        <f t="array" ref="G11">_xlfn.XLOOKUP($A11,DataColumnRange,_xlfn.XLOOKUP(G$1,dataRowRange,ActualDataRange))</f>
        <v>1</v>
      </c>
      <c r="H11" s="31" t="str" cm="1">
        <f t="array" ref="H11">_xlfn.XLOOKUP($A11,DataColumnRange,_xlfn.XLOOKUP(H$1,dataRowRange,ActualDataRange))</f>
        <v>NA</v>
      </c>
      <c r="I11" s="31" t="str" cm="1">
        <f t="array" ref="I11">_xlfn.XLOOKUP($A11,DataColumnRange,_xlfn.XLOOKUP(I$1,dataRowRange,ActualDataRange))</f>
        <v>JFK</v>
      </c>
      <c r="J11" s="31" t="str" cm="1">
        <f t="array" ref="J11">_xlfn.XLOOKUP($A11,DataColumnRange,_xlfn.XLOOKUP(J$1,dataRowRange,ActualDataRange))</f>
        <v>ATL</v>
      </c>
      <c r="K11" s="31" t="str" cm="1">
        <f t="array" ref="K11">_xlfn.XLOOKUP($A11,DataColumnRange,_xlfn.XLOOKUP(K$1,dataRowRange,ActualDataRange))</f>
        <v>Lab Animals - e.g. Mice</v>
      </c>
      <c r="L11" s="31" t="str" cm="1">
        <f t="array" ref="L11">_xlfn.XLOOKUP($A11,DataColumnRange,_xlfn.XLOOKUP(L$1,dataRowRange,ActualDataRange))</f>
        <v>Test Pet and Live</v>
      </c>
      <c r="M11" s="31" cm="1">
        <f t="array" ref="M11">_xlfn.XLOOKUP($A11,DataColumnRange,_xlfn.XLOOKUP(M$1,dataRowRange,ActualDataRange))</f>
        <v>10</v>
      </c>
      <c r="N11" s="31" t="str" cm="1">
        <f t="array" ref="N11">_xlfn.XLOOKUP($A11,DataColumnRange,_xlfn.XLOOKUP(N$1,dataRowRange,ActualDataRange))</f>
        <v>LB</v>
      </c>
      <c r="O11" s="31" cm="1">
        <f t="array" ref="O11">_xlfn.XLOOKUP($A11,DataColumnRange,_xlfn.XLOOKUP(O$1,dataRowRange,ActualDataRange))</f>
        <v>1</v>
      </c>
      <c r="P11" s="31" cm="1">
        <f t="array" ref="P11">_xlfn.XLOOKUP($A11,DataColumnRange,_xlfn.XLOOKUP(P$1,dataRowRange,ActualDataRange))</f>
        <v>10</v>
      </c>
      <c r="Q11" s="31" cm="1">
        <f t="array" ref="Q11">_xlfn.XLOOKUP($A11,DataColumnRange,_xlfn.XLOOKUP(Q$1,dataRowRange,ActualDataRange))</f>
        <v>10</v>
      </c>
      <c r="R11" s="31" cm="1">
        <f t="array" ref="R11">_xlfn.XLOOKUP($A11,DataColumnRange,_xlfn.XLOOKUP(R$1,dataRowRange,ActualDataRange))</f>
        <v>10</v>
      </c>
      <c r="S11" s="31" t="str" cm="1">
        <f t="array" ref="S11">_xlfn.XLOOKUP($A11,DataColumnRange,_xlfn.XLOOKUP(S$1,dataRowRange,ActualDataRange))</f>
        <v>IN</v>
      </c>
      <c r="T11" s="31" t="str" cm="1">
        <f t="array" ref="T11">_xlfn.XLOOKUP($A11,DataColumnRange,_xlfn.XLOOKUP(T$1,dataRowRange,ActualDataRange))</f>
        <v>Cubic Feet</v>
      </c>
      <c r="U11" s="31" t="str" cm="1">
        <f t="array" ref="U11">_xlfn.XLOOKUP($A11,DataColumnRange,_xlfn.XLOOKUP(U$1,dataRowRange,ActualDataRange))</f>
        <v>No</v>
      </c>
      <c r="V11" s="31" t="str" cm="1">
        <f t="array" ref="V11">_xlfn.XLOOKUP($A11,DataColumnRange,_xlfn.XLOOKUP(V$1,dataRowRange,ActualDataRange))</f>
        <v>No</v>
      </c>
      <c r="W11" s="31" t="str" cm="1">
        <f t="array" ref="W11">_xlfn.XLOOKUP($A11,DataColumnRange,_xlfn.XLOOKUP(W$1,dataRowRange,ActualDataRange))</f>
        <v>No</v>
      </c>
      <c r="X11" s="31" cm="1">
        <f t="array" ref="X11">_xlfn.XLOOKUP($A11,DataColumnRange,_xlfn.XLOOKUP(X$1,dataRowRange,ActualDataRange))</f>
        <v>2</v>
      </c>
      <c r="Y11" s="31" t="str" cm="1">
        <f t="array" ref="Y11">_xlfn.XLOOKUP($A11,DataColumnRange,_xlfn.XLOOKUP(Y$1,dataRowRange,ActualDataRange))</f>
        <v>No</v>
      </c>
      <c r="Z11" s="31" t="str" cm="1">
        <f t="array" ref="Z11">_xlfn.XLOOKUP($A11,DataColumnRange,_xlfn.XLOOKUP(Z$1,dataRowRange,ActualDataRange))</f>
        <v>NA</v>
      </c>
      <c r="AA11" s="31" t="str" cm="1">
        <f t="array" ref="AA11">_xlfn.XLOOKUP($A11,DataColumnRange,_xlfn.XLOOKUP(AA$1,dataRowRange,ActualDataRange))</f>
        <v>000260018</v>
      </c>
      <c r="AB11" s="31" t="str" cm="1">
        <f t="array" ref="AB11">_xlfn.XLOOKUP($A11,DataColumnRange,_xlfn.XLOOKUP(AB$1,dataRowRange,ActualDataRange))</f>
        <v>GeneralCargoTemplate</v>
      </c>
      <c r="AC11" s="31" t="str" cm="1">
        <f t="array" ref="AC11">_xlfn.XLOOKUP($A11,DataColumnRange,_xlfn.XLOOKUP(AC$1,dataRowRange,ActualDataRange))</f>
        <v>CreditCard</v>
      </c>
      <c r="AD11" s="31" t="str" cm="1">
        <f t="array" ref="AD11">_xlfn.XLOOKUP($A11,DataColumnRange,_xlfn.XLOOKUP(AD$1,dataRowRange,ActualDataRange))</f>
        <v>NA</v>
      </c>
      <c r="AE11" s="31" t="str" cm="1">
        <f t="array" ref="AE11">_xlfn.XLOOKUP($A11,DataColumnRange,_xlfn.XLOOKUP(AE$1,dataRowRange,ActualDataRange))</f>
        <v>Test1</v>
      </c>
      <c r="AF11" s="31" t="str" cm="1">
        <f t="array" ref="AF11">_xlfn.XLOOKUP($A11,DataColumnRange,_xlfn.XLOOKUP(AF$1,dataRowRange,ActualDataRange))</f>
        <v>Test2</v>
      </c>
      <c r="AG11" s="31" t="str" cm="1">
        <f t="array" ref="AG11">_xlfn.XLOOKUP($A11,DataColumnRange,_xlfn.XLOOKUP(AG$1,dataRowRange,ActualDataRange))</f>
        <v>Atlanta</v>
      </c>
      <c r="AH11" s="31" t="str" cm="1">
        <f t="array" ref="AH11">_xlfn.XLOOKUP($A11,DataColumnRange,_xlfn.XLOOKUP(AH$1,dataRowRange,ActualDataRange))</f>
        <v>Georgia</v>
      </c>
      <c r="AI11" s="31" cm="1">
        <f t="array" ref="AI11">_xlfn.XLOOKUP($A11,DataColumnRange,_xlfn.XLOOKUP(AI$1,dataRowRange,ActualDataRange))</f>
        <v>55055</v>
      </c>
      <c r="AJ11" s="31" t="str" cm="1">
        <f t="array" ref="AJ11">_xlfn.XLOOKUP($A11,DataColumnRange,_xlfn.XLOOKUP(AJ$1,dataRowRange,ActualDataRange))</f>
        <v>171276181</v>
      </c>
      <c r="AK11" s="31" t="str" cm="1">
        <f t="array" ref="AK11">_xlfn.XLOOKUP($A11,DataColumnRange,_xlfn.XLOOKUP(AK$1,dataRowRange,ActualDataRange))</f>
        <v>International</v>
      </c>
      <c r="AL11" s="31" cm="1">
        <f t="array" ref="AL11">_xlfn.XLOOKUP($A11,DataColumnRange,_xlfn.XLOOKUP(AL$1,dataRowRange,ActualDataRange))</f>
        <v>0</v>
      </c>
    </row>
    <row r="12" spans="1:38" ht="17" thickBot="1">
      <c r="A12" s="75" t="s">
        <v>403</v>
      </c>
      <c r="B12" s="32" t="s">
        <v>209</v>
      </c>
      <c r="C12" s="32" t="s">
        <v>223</v>
      </c>
      <c r="D12" s="24" t="str">
        <f>IF(TestCaseConfig!$B$3="Yes","Yes","No")</f>
        <v>Yes</v>
      </c>
      <c r="E12" s="31" t="str" cm="1">
        <f t="array" ref="E12">_xlfn.XLOOKUP($A12,DataColumnRange,_xlfn.XLOOKUP(E$1,dataRowRange,ActualDataRange))</f>
        <v>sumit.choudhary@delta.com</v>
      </c>
      <c r="F12" s="31" t="str" cm="1">
        <f t="array" ref="F12">_xlfn.XLOOKUP($A12,DataColumnRange,_xlfn.XLOOKUP(F$1,dataRowRange,ActualDataRange))</f>
        <v>Delta2</v>
      </c>
      <c r="G12" s="31" t="b" cm="1">
        <f t="array" ref="G12">_xlfn.XLOOKUP($A12,DataColumnRange,_xlfn.XLOOKUP(G$1,dataRowRange,ActualDataRange))</f>
        <v>1</v>
      </c>
      <c r="H12" s="31" t="str" cm="1">
        <f t="array" ref="H12">_xlfn.XLOOKUP($A12,DataColumnRange,_xlfn.XLOOKUP(H$1,dataRowRange,ActualDataRange))</f>
        <v>NA</v>
      </c>
      <c r="I12" s="31" t="str" cm="1">
        <f t="array" ref="I12">_xlfn.XLOOKUP($A12,DataColumnRange,_xlfn.XLOOKUP(I$1,dataRowRange,ActualDataRange))</f>
        <v>JFK</v>
      </c>
      <c r="J12" s="31" t="str" cm="1">
        <f t="array" ref="J12">_xlfn.XLOOKUP($A12,DataColumnRange,_xlfn.XLOOKUP(J$1,dataRowRange,ActualDataRange))</f>
        <v>ATL</v>
      </c>
      <c r="K12" s="31" t="str" cm="1">
        <f t="array" ref="K12">_xlfn.XLOOKUP($A12,DataColumnRange,_xlfn.XLOOKUP(K$1,dataRowRange,ActualDataRange))</f>
        <v>Other Warm Blooded Animal</v>
      </c>
      <c r="L12" s="31" t="str" cm="1">
        <f t="array" ref="L12">_xlfn.XLOOKUP($A12,DataColumnRange,_xlfn.XLOOKUP(L$1,dataRowRange,ActualDataRange))</f>
        <v>Test Pet and Live</v>
      </c>
      <c r="M12" s="31" cm="1">
        <f t="array" ref="M12">_xlfn.XLOOKUP($A12,DataColumnRange,_xlfn.XLOOKUP(M$1,dataRowRange,ActualDataRange))</f>
        <v>10</v>
      </c>
      <c r="N12" s="31" t="str" cm="1">
        <f t="array" ref="N12">_xlfn.XLOOKUP($A12,DataColumnRange,_xlfn.XLOOKUP(N$1,dataRowRange,ActualDataRange))</f>
        <v>LB</v>
      </c>
      <c r="O12" s="31" cm="1">
        <f t="array" ref="O12">_xlfn.XLOOKUP($A12,DataColumnRange,_xlfn.XLOOKUP(O$1,dataRowRange,ActualDataRange))</f>
        <v>1</v>
      </c>
      <c r="P12" s="31" cm="1">
        <f t="array" ref="P12">_xlfn.XLOOKUP($A12,DataColumnRange,_xlfn.XLOOKUP(P$1,dataRowRange,ActualDataRange))</f>
        <v>10</v>
      </c>
      <c r="Q12" s="31" cm="1">
        <f t="array" ref="Q12">_xlfn.XLOOKUP($A12,DataColumnRange,_xlfn.XLOOKUP(Q$1,dataRowRange,ActualDataRange))</f>
        <v>10</v>
      </c>
      <c r="R12" s="31" cm="1">
        <f t="array" ref="R12">_xlfn.XLOOKUP($A12,DataColumnRange,_xlfn.XLOOKUP(R$1,dataRowRange,ActualDataRange))</f>
        <v>10</v>
      </c>
      <c r="S12" s="31" t="str" cm="1">
        <f t="array" ref="S12">_xlfn.XLOOKUP($A12,DataColumnRange,_xlfn.XLOOKUP(S$1,dataRowRange,ActualDataRange))</f>
        <v>IN</v>
      </c>
      <c r="T12" s="31" t="str" cm="1">
        <f t="array" ref="T12">_xlfn.XLOOKUP($A12,DataColumnRange,_xlfn.XLOOKUP(T$1,dataRowRange,ActualDataRange))</f>
        <v>Cubic Feet</v>
      </c>
      <c r="U12" s="31" t="str" cm="1">
        <f t="array" ref="U12">_xlfn.XLOOKUP($A12,DataColumnRange,_xlfn.XLOOKUP(U$1,dataRowRange,ActualDataRange))</f>
        <v>No</v>
      </c>
      <c r="V12" s="31" t="str" cm="1">
        <f t="array" ref="V12">_xlfn.XLOOKUP($A12,DataColumnRange,_xlfn.XLOOKUP(V$1,dataRowRange,ActualDataRange))</f>
        <v>No</v>
      </c>
      <c r="W12" s="31" t="str" cm="1">
        <f t="array" ref="W12">_xlfn.XLOOKUP($A12,DataColumnRange,_xlfn.XLOOKUP(W$1,dataRowRange,ActualDataRange))</f>
        <v>No</v>
      </c>
      <c r="X12" s="31" cm="1">
        <f t="array" ref="X12">_xlfn.XLOOKUP($A12,DataColumnRange,_xlfn.XLOOKUP(X$1,dataRowRange,ActualDataRange))</f>
        <v>2</v>
      </c>
      <c r="Y12" s="31" t="str" cm="1">
        <f t="array" ref="Y12">_xlfn.XLOOKUP($A12,DataColumnRange,_xlfn.XLOOKUP(Y$1,dataRowRange,ActualDataRange))</f>
        <v>No</v>
      </c>
      <c r="Z12" s="31" t="str" cm="1">
        <f t="array" ref="Z12">_xlfn.XLOOKUP($A12,DataColumnRange,_xlfn.XLOOKUP(Z$1,dataRowRange,ActualDataRange))</f>
        <v>NA</v>
      </c>
      <c r="AA12" s="31" t="str" cm="1">
        <f t="array" ref="AA12">_xlfn.XLOOKUP($A12,DataColumnRange,_xlfn.XLOOKUP(AA$1,dataRowRange,ActualDataRange))</f>
        <v>000260018</v>
      </c>
      <c r="AB12" s="31" t="str" cm="1">
        <f t="array" ref="AB12">_xlfn.XLOOKUP($A12,DataColumnRange,_xlfn.XLOOKUP(AB$1,dataRowRange,ActualDataRange))</f>
        <v>GeneralCargoTemplate</v>
      </c>
      <c r="AC12" s="31" t="str" cm="1">
        <f t="array" ref="AC12">_xlfn.XLOOKUP($A12,DataColumnRange,_xlfn.XLOOKUP(AC$1,dataRowRange,ActualDataRange))</f>
        <v>CreditCard</v>
      </c>
      <c r="AD12" s="31" t="str" cm="1">
        <f t="array" ref="AD12">_xlfn.XLOOKUP($A12,DataColumnRange,_xlfn.XLOOKUP(AD$1,dataRowRange,ActualDataRange))</f>
        <v>NA</v>
      </c>
      <c r="AE12" s="31" t="str" cm="1">
        <f t="array" ref="AE12">_xlfn.XLOOKUP($A12,DataColumnRange,_xlfn.XLOOKUP(AE$1,dataRowRange,ActualDataRange))</f>
        <v>Test1</v>
      </c>
      <c r="AF12" s="31" t="str" cm="1">
        <f t="array" ref="AF12">_xlfn.XLOOKUP($A12,DataColumnRange,_xlfn.XLOOKUP(AF$1,dataRowRange,ActualDataRange))</f>
        <v>Test2</v>
      </c>
      <c r="AG12" s="31" t="str" cm="1">
        <f t="array" ref="AG12">_xlfn.XLOOKUP($A12,DataColumnRange,_xlfn.XLOOKUP(AG$1,dataRowRange,ActualDataRange))</f>
        <v>Atlanta</v>
      </c>
      <c r="AH12" s="31" t="str" cm="1">
        <f t="array" ref="AH12">_xlfn.XLOOKUP($A12,DataColumnRange,_xlfn.XLOOKUP(AH$1,dataRowRange,ActualDataRange))</f>
        <v>Georgia</v>
      </c>
      <c r="AI12" s="31" cm="1">
        <f t="array" ref="AI12">_xlfn.XLOOKUP($A12,DataColumnRange,_xlfn.XLOOKUP(AI$1,dataRowRange,ActualDataRange))</f>
        <v>55055</v>
      </c>
      <c r="AJ12" s="31" t="str" cm="1">
        <f t="array" ref="AJ12">_xlfn.XLOOKUP($A12,DataColumnRange,_xlfn.XLOOKUP(AJ$1,dataRowRange,ActualDataRange))</f>
        <v>171276181</v>
      </c>
      <c r="AK12" s="31" t="str" cm="1">
        <f t="array" ref="AK12">_xlfn.XLOOKUP($A12,DataColumnRange,_xlfn.XLOOKUP(AK$1,dataRowRange,ActualDataRange))</f>
        <v>International</v>
      </c>
      <c r="AL12" s="31" cm="1">
        <f t="array" ref="AL12">_xlfn.XLOOKUP($A12,DataColumnRange,_xlfn.XLOOKUP(AL$1,dataRowRange,ActualDataRange))</f>
        <v>0</v>
      </c>
    </row>
    <row r="13" spans="1:38" ht="17" thickBot="1">
      <c r="A13" s="75" t="s">
        <v>404</v>
      </c>
      <c r="B13" s="32" t="s">
        <v>209</v>
      </c>
      <c r="C13" s="32" t="s">
        <v>223</v>
      </c>
      <c r="D13" s="24" t="str">
        <f>IF(TestCaseConfig!$B$3="Yes","Yes","No")</f>
        <v>Yes</v>
      </c>
      <c r="E13" s="31" t="str" cm="1">
        <f t="array" ref="E13">_xlfn.XLOOKUP($A13,DataColumnRange,_xlfn.XLOOKUP(E$1,dataRowRange,ActualDataRange))</f>
        <v>sumit.choudhary@delta.com</v>
      </c>
      <c r="F13" s="31" t="str" cm="1">
        <f t="array" ref="F13">_xlfn.XLOOKUP($A13,DataColumnRange,_xlfn.XLOOKUP(F$1,dataRowRange,ActualDataRange))</f>
        <v>Delta2</v>
      </c>
      <c r="G13" s="31" t="b" cm="1">
        <f t="array" ref="G13">_xlfn.XLOOKUP($A13,DataColumnRange,_xlfn.XLOOKUP(G$1,dataRowRange,ActualDataRange))</f>
        <v>1</v>
      </c>
      <c r="H13" s="31" t="str" cm="1">
        <f t="array" ref="H13">_xlfn.XLOOKUP($A13,DataColumnRange,_xlfn.XLOOKUP(H$1,dataRowRange,ActualDataRange))</f>
        <v>NA</v>
      </c>
      <c r="I13" s="31" t="str" cm="1">
        <f t="array" ref="I13">_xlfn.XLOOKUP($A13,DataColumnRange,_xlfn.XLOOKUP(I$1,dataRowRange,ActualDataRange))</f>
        <v>JFK</v>
      </c>
      <c r="J13" s="31" t="str" cm="1">
        <f t="array" ref="J13">_xlfn.XLOOKUP($A13,DataColumnRange,_xlfn.XLOOKUP(J$1,dataRowRange,ActualDataRange))</f>
        <v>ATL</v>
      </c>
      <c r="K13" s="31" t="str" cm="1">
        <f t="array" ref="K13">_xlfn.XLOOKUP($A13,DataColumnRange,_xlfn.XLOOKUP(K$1,dataRowRange,ActualDataRange))</f>
        <v>Reptile/Amphibian/etc.</v>
      </c>
      <c r="L13" s="31" t="str" cm="1">
        <f t="array" ref="L13">_xlfn.XLOOKUP($A13,DataColumnRange,_xlfn.XLOOKUP(L$1,dataRowRange,ActualDataRange))</f>
        <v>Test Pet and Live</v>
      </c>
      <c r="M13" s="31" cm="1">
        <f t="array" ref="M13">_xlfn.XLOOKUP($A13,DataColumnRange,_xlfn.XLOOKUP(M$1,dataRowRange,ActualDataRange))</f>
        <v>10</v>
      </c>
      <c r="N13" s="31" t="str" cm="1">
        <f t="array" ref="N13">_xlfn.XLOOKUP($A13,DataColumnRange,_xlfn.XLOOKUP(N$1,dataRowRange,ActualDataRange))</f>
        <v>LB</v>
      </c>
      <c r="O13" s="31" cm="1">
        <f t="array" ref="O13">_xlfn.XLOOKUP($A13,DataColumnRange,_xlfn.XLOOKUP(O$1,dataRowRange,ActualDataRange))</f>
        <v>1</v>
      </c>
      <c r="P13" s="31" cm="1">
        <f t="array" ref="P13">_xlfn.XLOOKUP($A13,DataColumnRange,_xlfn.XLOOKUP(P$1,dataRowRange,ActualDataRange))</f>
        <v>10</v>
      </c>
      <c r="Q13" s="31" cm="1">
        <f t="array" ref="Q13">_xlfn.XLOOKUP($A13,DataColumnRange,_xlfn.XLOOKUP(Q$1,dataRowRange,ActualDataRange))</f>
        <v>10</v>
      </c>
      <c r="R13" s="31" cm="1">
        <f t="array" ref="R13">_xlfn.XLOOKUP($A13,DataColumnRange,_xlfn.XLOOKUP(R$1,dataRowRange,ActualDataRange))</f>
        <v>10</v>
      </c>
      <c r="S13" s="31" t="str" cm="1">
        <f t="array" ref="S13">_xlfn.XLOOKUP($A13,DataColumnRange,_xlfn.XLOOKUP(S$1,dataRowRange,ActualDataRange))</f>
        <v>IN</v>
      </c>
      <c r="T13" s="31" t="str" cm="1">
        <f t="array" ref="T13">_xlfn.XLOOKUP($A13,DataColumnRange,_xlfn.XLOOKUP(T$1,dataRowRange,ActualDataRange))</f>
        <v>Cubic Feet</v>
      </c>
      <c r="U13" s="31" t="str" cm="1">
        <f t="array" ref="U13">_xlfn.XLOOKUP($A13,DataColumnRange,_xlfn.XLOOKUP(U$1,dataRowRange,ActualDataRange))</f>
        <v>No</v>
      </c>
      <c r="V13" s="31" t="str" cm="1">
        <f t="array" ref="V13">_xlfn.XLOOKUP($A13,DataColumnRange,_xlfn.XLOOKUP(V$1,dataRowRange,ActualDataRange))</f>
        <v>No</v>
      </c>
      <c r="W13" s="31" t="str" cm="1">
        <f t="array" ref="W13">_xlfn.XLOOKUP($A13,DataColumnRange,_xlfn.XLOOKUP(W$1,dataRowRange,ActualDataRange))</f>
        <v>No</v>
      </c>
      <c r="X13" s="31" cm="1">
        <f t="array" ref="X13">_xlfn.XLOOKUP($A13,DataColumnRange,_xlfn.XLOOKUP(X$1,dataRowRange,ActualDataRange))</f>
        <v>2</v>
      </c>
      <c r="Y13" s="31" t="str" cm="1">
        <f t="array" ref="Y13">_xlfn.XLOOKUP($A13,DataColumnRange,_xlfn.XLOOKUP(Y$1,dataRowRange,ActualDataRange))</f>
        <v>No</v>
      </c>
      <c r="Z13" s="31" t="str" cm="1">
        <f t="array" ref="Z13">_xlfn.XLOOKUP($A13,DataColumnRange,_xlfn.XLOOKUP(Z$1,dataRowRange,ActualDataRange))</f>
        <v>NA</v>
      </c>
      <c r="AA13" s="31" t="str" cm="1">
        <f t="array" ref="AA13">_xlfn.XLOOKUP($A13,DataColumnRange,_xlfn.XLOOKUP(AA$1,dataRowRange,ActualDataRange))</f>
        <v>000260018</v>
      </c>
      <c r="AB13" s="31" t="str" cm="1">
        <f t="array" ref="AB13">_xlfn.XLOOKUP($A13,DataColumnRange,_xlfn.XLOOKUP(AB$1,dataRowRange,ActualDataRange))</f>
        <v>GeneralCargoTemplate</v>
      </c>
      <c r="AC13" s="31" t="str" cm="1">
        <f t="array" ref="AC13">_xlfn.XLOOKUP($A13,DataColumnRange,_xlfn.XLOOKUP(AC$1,dataRowRange,ActualDataRange))</f>
        <v>CreditCard</v>
      </c>
      <c r="AD13" s="31" t="str" cm="1">
        <f t="array" ref="AD13">_xlfn.XLOOKUP($A13,DataColumnRange,_xlfn.XLOOKUP(AD$1,dataRowRange,ActualDataRange))</f>
        <v>NA</v>
      </c>
      <c r="AE13" s="31" t="str" cm="1">
        <f t="array" ref="AE13">_xlfn.XLOOKUP($A13,DataColumnRange,_xlfn.XLOOKUP(AE$1,dataRowRange,ActualDataRange))</f>
        <v>Test1</v>
      </c>
      <c r="AF13" s="31" t="str" cm="1">
        <f t="array" ref="AF13">_xlfn.XLOOKUP($A13,DataColumnRange,_xlfn.XLOOKUP(AF$1,dataRowRange,ActualDataRange))</f>
        <v>Test2</v>
      </c>
      <c r="AG13" s="31" t="str" cm="1">
        <f t="array" ref="AG13">_xlfn.XLOOKUP($A13,DataColumnRange,_xlfn.XLOOKUP(AG$1,dataRowRange,ActualDataRange))</f>
        <v>Atlanta</v>
      </c>
      <c r="AH13" s="31" t="str" cm="1">
        <f t="array" ref="AH13">_xlfn.XLOOKUP($A13,DataColumnRange,_xlfn.XLOOKUP(AH$1,dataRowRange,ActualDataRange))</f>
        <v>Georgia</v>
      </c>
      <c r="AI13" s="31" cm="1">
        <f t="array" ref="AI13">_xlfn.XLOOKUP($A13,DataColumnRange,_xlfn.XLOOKUP(AI$1,dataRowRange,ActualDataRange))</f>
        <v>55055</v>
      </c>
      <c r="AJ13" s="31" t="str" cm="1">
        <f t="array" ref="AJ13">_xlfn.XLOOKUP($A13,DataColumnRange,_xlfn.XLOOKUP(AJ$1,dataRowRange,ActualDataRange))</f>
        <v>171276181</v>
      </c>
      <c r="AK13" s="31" t="str" cm="1">
        <f t="array" ref="AK13">_xlfn.XLOOKUP($A13,DataColumnRange,_xlfn.XLOOKUP(AK$1,dataRowRange,ActualDataRange))</f>
        <v>International</v>
      </c>
      <c r="AL13" s="31" cm="1">
        <f t="array" ref="AL13">_xlfn.XLOOKUP($A13,DataColumnRange,_xlfn.XLOOKUP(AL$1,dataRowRange,ActualDataRange))</f>
        <v>0</v>
      </c>
    </row>
    <row r="14" spans="1:38" ht="17" thickBot="1">
      <c r="A14" s="75" t="s">
        <v>405</v>
      </c>
      <c r="B14" s="32" t="s">
        <v>209</v>
      </c>
      <c r="C14" s="32" t="s">
        <v>223</v>
      </c>
      <c r="D14" s="24" t="str">
        <f>IF(TestCaseConfig!$B$3="Yes","Yes","No")</f>
        <v>Yes</v>
      </c>
      <c r="E14" s="31" t="str" cm="1">
        <f t="array" ref="E14">_xlfn.XLOOKUP($A14,DataColumnRange,_xlfn.XLOOKUP(E$1,dataRowRange,ActualDataRange))</f>
        <v>sumit.choudhary@delta.com</v>
      </c>
      <c r="F14" s="31" t="str" cm="1">
        <f t="array" ref="F14">_xlfn.XLOOKUP($A14,DataColumnRange,_xlfn.XLOOKUP(F$1,dataRowRange,ActualDataRange))</f>
        <v>Delta2</v>
      </c>
      <c r="G14" s="31" t="b" cm="1">
        <f t="array" ref="G14">_xlfn.XLOOKUP($A14,DataColumnRange,_xlfn.XLOOKUP(G$1,dataRowRange,ActualDataRange))</f>
        <v>1</v>
      </c>
      <c r="H14" s="31" t="str" cm="1">
        <f t="array" ref="H14">_xlfn.XLOOKUP($A14,DataColumnRange,_xlfn.XLOOKUP(H$1,dataRowRange,ActualDataRange))</f>
        <v>NA</v>
      </c>
      <c r="I14" s="31" t="str" cm="1">
        <f t="array" ref="I14">_xlfn.XLOOKUP($A14,DataColumnRange,_xlfn.XLOOKUP(I$1,dataRowRange,ActualDataRange))</f>
        <v>JFK</v>
      </c>
      <c r="J14" s="31" t="str" cm="1">
        <f t="array" ref="J14">_xlfn.XLOOKUP($A14,DataColumnRange,_xlfn.XLOOKUP(J$1,dataRowRange,ActualDataRange))</f>
        <v>ATL</v>
      </c>
      <c r="K14" s="31" t="str" cm="1">
        <f t="array" ref="K14">_xlfn.XLOOKUP($A14,DataColumnRange,_xlfn.XLOOKUP(K$1,dataRowRange,ActualDataRange))</f>
        <v>Tropical Fish</v>
      </c>
      <c r="L14" s="31" t="str" cm="1">
        <f t="array" ref="L14">_xlfn.XLOOKUP($A14,DataColumnRange,_xlfn.XLOOKUP(L$1,dataRowRange,ActualDataRange))</f>
        <v>Test Pet and Live</v>
      </c>
      <c r="M14" s="31" cm="1">
        <f t="array" ref="M14">_xlfn.XLOOKUP($A14,DataColumnRange,_xlfn.XLOOKUP(M$1,dataRowRange,ActualDataRange))</f>
        <v>10</v>
      </c>
      <c r="N14" s="31" t="str" cm="1">
        <f t="array" ref="N14">_xlfn.XLOOKUP($A14,DataColumnRange,_xlfn.XLOOKUP(N$1,dataRowRange,ActualDataRange))</f>
        <v>LB</v>
      </c>
      <c r="O14" s="31" cm="1">
        <f t="array" ref="O14">_xlfn.XLOOKUP($A14,DataColumnRange,_xlfn.XLOOKUP(O$1,dataRowRange,ActualDataRange))</f>
        <v>1</v>
      </c>
      <c r="P14" s="31" cm="1">
        <f t="array" ref="P14">_xlfn.XLOOKUP($A14,DataColumnRange,_xlfn.XLOOKUP(P$1,dataRowRange,ActualDataRange))</f>
        <v>10</v>
      </c>
      <c r="Q14" s="31" cm="1">
        <f t="array" ref="Q14">_xlfn.XLOOKUP($A14,DataColumnRange,_xlfn.XLOOKUP(Q$1,dataRowRange,ActualDataRange))</f>
        <v>10</v>
      </c>
      <c r="R14" s="31" cm="1">
        <f t="array" ref="R14">_xlfn.XLOOKUP($A14,DataColumnRange,_xlfn.XLOOKUP(R$1,dataRowRange,ActualDataRange))</f>
        <v>10</v>
      </c>
      <c r="S14" s="31" t="str" cm="1">
        <f t="array" ref="S14">_xlfn.XLOOKUP($A14,DataColumnRange,_xlfn.XLOOKUP(S$1,dataRowRange,ActualDataRange))</f>
        <v>IN</v>
      </c>
      <c r="T14" s="31" t="str" cm="1">
        <f t="array" ref="T14">_xlfn.XLOOKUP($A14,DataColumnRange,_xlfn.XLOOKUP(T$1,dataRowRange,ActualDataRange))</f>
        <v>Cubic Feet</v>
      </c>
      <c r="U14" s="31" t="str" cm="1">
        <f t="array" ref="U14">_xlfn.XLOOKUP($A14,DataColumnRange,_xlfn.XLOOKUP(U$1,dataRowRange,ActualDataRange))</f>
        <v>No</v>
      </c>
      <c r="V14" s="31" t="str" cm="1">
        <f t="array" ref="V14">_xlfn.XLOOKUP($A14,DataColumnRange,_xlfn.XLOOKUP(V$1,dataRowRange,ActualDataRange))</f>
        <v>No</v>
      </c>
      <c r="W14" s="31" t="str" cm="1">
        <f t="array" ref="W14">_xlfn.XLOOKUP($A14,DataColumnRange,_xlfn.XLOOKUP(W$1,dataRowRange,ActualDataRange))</f>
        <v>No</v>
      </c>
      <c r="X14" s="31" cm="1">
        <f t="array" ref="X14">_xlfn.XLOOKUP($A14,DataColumnRange,_xlfn.XLOOKUP(X$1,dataRowRange,ActualDataRange))</f>
        <v>2</v>
      </c>
      <c r="Y14" s="31" t="str" cm="1">
        <f t="array" ref="Y14">_xlfn.XLOOKUP($A14,DataColumnRange,_xlfn.XLOOKUP(Y$1,dataRowRange,ActualDataRange))</f>
        <v>No</v>
      </c>
      <c r="Z14" s="31" t="str" cm="1">
        <f t="array" ref="Z14">_xlfn.XLOOKUP($A14,DataColumnRange,_xlfn.XLOOKUP(Z$1,dataRowRange,ActualDataRange))</f>
        <v>NA</v>
      </c>
      <c r="AA14" s="31" t="str" cm="1">
        <f t="array" ref="AA14">_xlfn.XLOOKUP($A14,DataColumnRange,_xlfn.XLOOKUP(AA$1,dataRowRange,ActualDataRange))</f>
        <v>000260018</v>
      </c>
      <c r="AB14" s="31" t="str" cm="1">
        <f t="array" ref="AB14">_xlfn.XLOOKUP($A14,DataColumnRange,_xlfn.XLOOKUP(AB$1,dataRowRange,ActualDataRange))</f>
        <v>GeneralCargoTemplate</v>
      </c>
      <c r="AC14" s="31" t="str" cm="1">
        <f t="array" ref="AC14">_xlfn.XLOOKUP($A14,DataColumnRange,_xlfn.XLOOKUP(AC$1,dataRowRange,ActualDataRange))</f>
        <v>CreditCard</v>
      </c>
      <c r="AD14" s="31" t="str" cm="1">
        <f t="array" ref="AD14">_xlfn.XLOOKUP($A14,DataColumnRange,_xlfn.XLOOKUP(AD$1,dataRowRange,ActualDataRange))</f>
        <v>NA</v>
      </c>
      <c r="AE14" s="31" t="str" cm="1">
        <f t="array" ref="AE14">_xlfn.XLOOKUP($A14,DataColumnRange,_xlfn.XLOOKUP(AE$1,dataRowRange,ActualDataRange))</f>
        <v>Test1</v>
      </c>
      <c r="AF14" s="31" t="str" cm="1">
        <f t="array" ref="AF14">_xlfn.XLOOKUP($A14,DataColumnRange,_xlfn.XLOOKUP(AF$1,dataRowRange,ActualDataRange))</f>
        <v>Test2</v>
      </c>
      <c r="AG14" s="31" t="str" cm="1">
        <f t="array" ref="AG14">_xlfn.XLOOKUP($A14,DataColumnRange,_xlfn.XLOOKUP(AG$1,dataRowRange,ActualDataRange))</f>
        <v>Atlanta</v>
      </c>
      <c r="AH14" s="31" t="str" cm="1">
        <f t="array" ref="AH14">_xlfn.XLOOKUP($A14,DataColumnRange,_xlfn.XLOOKUP(AH$1,dataRowRange,ActualDataRange))</f>
        <v>Georgia</v>
      </c>
      <c r="AI14" s="31" cm="1">
        <f t="array" ref="AI14">_xlfn.XLOOKUP($A14,DataColumnRange,_xlfn.XLOOKUP(AI$1,dataRowRange,ActualDataRange))</f>
        <v>55055</v>
      </c>
      <c r="AJ14" s="31" t="str" cm="1">
        <f t="array" ref="AJ14">_xlfn.XLOOKUP($A14,DataColumnRange,_xlfn.XLOOKUP(AJ$1,dataRowRange,ActualDataRange))</f>
        <v>171276181</v>
      </c>
      <c r="AK14" s="31" t="str" cm="1">
        <f t="array" ref="AK14">_xlfn.XLOOKUP($A14,DataColumnRange,_xlfn.XLOOKUP(AK$1,dataRowRange,ActualDataRange))</f>
        <v>International</v>
      </c>
      <c r="AL14" s="31" cm="1">
        <f t="array" ref="AL14">_xlfn.XLOOKUP($A14,DataColumnRange,_xlfn.XLOOKUP(AL$1,dataRowRange,ActualDataRange))</f>
        <v>0</v>
      </c>
    </row>
    <row r="15" spans="1:38" ht="17" thickBot="1">
      <c r="A15" s="75" t="s">
        <v>406</v>
      </c>
      <c r="B15" s="32" t="s">
        <v>209</v>
      </c>
      <c r="C15" s="32" t="s">
        <v>223</v>
      </c>
      <c r="D15" s="24" t="str">
        <f>IF(TestCaseConfig!$B$3="Yes","Yes","No")</f>
        <v>Yes</v>
      </c>
      <c r="E15" s="31" t="str" cm="1">
        <f t="array" ref="E15">_xlfn.XLOOKUP($A15,DataColumnRange,_xlfn.XLOOKUP(E$1,dataRowRange,ActualDataRange))</f>
        <v>sumit.choudhary@delta.com</v>
      </c>
      <c r="F15" s="31" t="str" cm="1">
        <f t="array" ref="F15">_xlfn.XLOOKUP($A15,DataColumnRange,_xlfn.XLOOKUP(F$1,dataRowRange,ActualDataRange))</f>
        <v>Delta2</v>
      </c>
      <c r="G15" s="31" t="b" cm="1">
        <f t="array" ref="G15">_xlfn.XLOOKUP($A15,DataColumnRange,_xlfn.XLOOKUP(G$1,dataRowRange,ActualDataRange))</f>
        <v>1</v>
      </c>
      <c r="H15" s="31" t="str" cm="1">
        <f t="array" ref="H15">_xlfn.XLOOKUP($A15,DataColumnRange,_xlfn.XLOOKUP(H$1,dataRowRange,ActualDataRange))</f>
        <v>NA</v>
      </c>
      <c r="I15" s="31" t="str" cm="1">
        <f t="array" ref="I15">_xlfn.XLOOKUP($A15,DataColumnRange,_xlfn.XLOOKUP(I$1,dataRowRange,ActualDataRange))</f>
        <v>JFK</v>
      </c>
      <c r="J15" s="31" t="str" cm="1">
        <f t="array" ref="J15">_xlfn.XLOOKUP($A15,DataColumnRange,_xlfn.XLOOKUP(J$1,dataRowRange,ActualDataRange))</f>
        <v>ATL</v>
      </c>
      <c r="K15" s="31" t="str" cm="1">
        <f t="array" ref="K15">_xlfn.XLOOKUP($A15,DataColumnRange,_xlfn.XLOOKUP(K$1,dataRowRange,ActualDataRange))</f>
        <v>Hatching Eggs</v>
      </c>
      <c r="L15" s="31" t="str" cm="1">
        <f t="array" ref="L15">_xlfn.XLOOKUP($A15,DataColumnRange,_xlfn.XLOOKUP(L$1,dataRowRange,ActualDataRange))</f>
        <v>Test Pet and Live</v>
      </c>
      <c r="M15" s="31" cm="1">
        <f t="array" ref="M15">_xlfn.XLOOKUP($A15,DataColumnRange,_xlfn.XLOOKUP(M$1,dataRowRange,ActualDataRange))</f>
        <v>10</v>
      </c>
      <c r="N15" s="31" t="str" cm="1">
        <f t="array" ref="N15">_xlfn.XLOOKUP($A15,DataColumnRange,_xlfn.XLOOKUP(N$1,dataRowRange,ActualDataRange))</f>
        <v>LB</v>
      </c>
      <c r="O15" s="31" cm="1">
        <f t="array" ref="O15">_xlfn.XLOOKUP($A15,DataColumnRange,_xlfn.XLOOKUP(O$1,dataRowRange,ActualDataRange))</f>
        <v>1</v>
      </c>
      <c r="P15" s="31" cm="1">
        <f t="array" ref="P15">_xlfn.XLOOKUP($A15,DataColumnRange,_xlfn.XLOOKUP(P$1,dataRowRange,ActualDataRange))</f>
        <v>10</v>
      </c>
      <c r="Q15" s="31" cm="1">
        <f t="array" ref="Q15">_xlfn.XLOOKUP($A15,DataColumnRange,_xlfn.XLOOKUP(Q$1,dataRowRange,ActualDataRange))</f>
        <v>10</v>
      </c>
      <c r="R15" s="31" cm="1">
        <f t="array" ref="R15">_xlfn.XLOOKUP($A15,DataColumnRange,_xlfn.XLOOKUP(R$1,dataRowRange,ActualDataRange))</f>
        <v>10</v>
      </c>
      <c r="S15" s="31" t="str" cm="1">
        <f t="array" ref="S15">_xlfn.XLOOKUP($A15,DataColumnRange,_xlfn.XLOOKUP(S$1,dataRowRange,ActualDataRange))</f>
        <v>IN</v>
      </c>
      <c r="T15" s="31" t="str" cm="1">
        <f t="array" ref="T15">_xlfn.XLOOKUP($A15,DataColumnRange,_xlfn.XLOOKUP(T$1,dataRowRange,ActualDataRange))</f>
        <v>Cubic Feet</v>
      </c>
      <c r="U15" s="31" t="str" cm="1">
        <f t="array" ref="U15">_xlfn.XLOOKUP($A15,DataColumnRange,_xlfn.XLOOKUP(U$1,dataRowRange,ActualDataRange))</f>
        <v>No</v>
      </c>
      <c r="V15" s="31" t="str" cm="1">
        <f t="array" ref="V15">_xlfn.XLOOKUP($A15,DataColumnRange,_xlfn.XLOOKUP(V$1,dataRowRange,ActualDataRange))</f>
        <v>No</v>
      </c>
      <c r="W15" s="31" t="str" cm="1">
        <f t="array" ref="W15">_xlfn.XLOOKUP($A15,DataColumnRange,_xlfn.XLOOKUP(W$1,dataRowRange,ActualDataRange))</f>
        <v>No</v>
      </c>
      <c r="X15" s="31" cm="1">
        <f t="array" ref="X15">_xlfn.XLOOKUP($A15,DataColumnRange,_xlfn.XLOOKUP(X$1,dataRowRange,ActualDataRange))</f>
        <v>2</v>
      </c>
      <c r="Y15" s="31" t="str" cm="1">
        <f t="array" ref="Y15">_xlfn.XLOOKUP($A15,DataColumnRange,_xlfn.XLOOKUP(Y$1,dataRowRange,ActualDataRange))</f>
        <v>No</v>
      </c>
      <c r="Z15" s="31" t="str" cm="1">
        <f t="array" ref="Z15">_xlfn.XLOOKUP($A15,DataColumnRange,_xlfn.XLOOKUP(Z$1,dataRowRange,ActualDataRange))</f>
        <v>NA</v>
      </c>
      <c r="AA15" s="31" t="str" cm="1">
        <f t="array" ref="AA15">_xlfn.XLOOKUP($A15,DataColumnRange,_xlfn.XLOOKUP(AA$1,dataRowRange,ActualDataRange))</f>
        <v>000260018</v>
      </c>
      <c r="AB15" s="31" t="str" cm="1">
        <f t="array" ref="AB15">_xlfn.XLOOKUP($A15,DataColumnRange,_xlfn.XLOOKUP(AB$1,dataRowRange,ActualDataRange))</f>
        <v>GeneralCargoTemplate</v>
      </c>
      <c r="AC15" s="31" t="str" cm="1">
        <f t="array" ref="AC15">_xlfn.XLOOKUP($A15,DataColumnRange,_xlfn.XLOOKUP(AC$1,dataRowRange,ActualDataRange))</f>
        <v>CreditCard</v>
      </c>
      <c r="AD15" s="31" t="str" cm="1">
        <f t="array" ref="AD15">_xlfn.XLOOKUP($A15,DataColumnRange,_xlfn.XLOOKUP(AD$1,dataRowRange,ActualDataRange))</f>
        <v>NA</v>
      </c>
      <c r="AE15" s="31" t="str" cm="1">
        <f t="array" ref="AE15">_xlfn.XLOOKUP($A15,DataColumnRange,_xlfn.XLOOKUP(AE$1,dataRowRange,ActualDataRange))</f>
        <v>Test1</v>
      </c>
      <c r="AF15" s="31" t="str" cm="1">
        <f t="array" ref="AF15">_xlfn.XLOOKUP($A15,DataColumnRange,_xlfn.XLOOKUP(AF$1,dataRowRange,ActualDataRange))</f>
        <v>Test2</v>
      </c>
      <c r="AG15" s="31" t="str" cm="1">
        <f t="array" ref="AG15">_xlfn.XLOOKUP($A15,DataColumnRange,_xlfn.XLOOKUP(AG$1,dataRowRange,ActualDataRange))</f>
        <v>Atlanta</v>
      </c>
      <c r="AH15" s="31" t="str" cm="1">
        <f t="array" ref="AH15">_xlfn.XLOOKUP($A15,DataColumnRange,_xlfn.XLOOKUP(AH$1,dataRowRange,ActualDataRange))</f>
        <v>Georgia</v>
      </c>
      <c r="AI15" s="31" cm="1">
        <f t="array" ref="AI15">_xlfn.XLOOKUP($A15,DataColumnRange,_xlfn.XLOOKUP(AI$1,dataRowRange,ActualDataRange))</f>
        <v>55055</v>
      </c>
      <c r="AJ15" s="31" t="str" cm="1">
        <f t="array" ref="AJ15">_xlfn.XLOOKUP($A15,DataColumnRange,_xlfn.XLOOKUP(AJ$1,dataRowRange,ActualDataRange))</f>
        <v>171276181</v>
      </c>
      <c r="AK15" s="31" t="str" cm="1">
        <f t="array" ref="AK15">_xlfn.XLOOKUP($A15,DataColumnRange,_xlfn.XLOOKUP(AK$1,dataRowRange,ActualDataRange))</f>
        <v>International</v>
      </c>
      <c r="AL15" s="31" cm="1">
        <f t="array" ref="AL15">_xlfn.XLOOKUP($A15,DataColumnRange,_xlfn.XLOOKUP(AL$1,dataRowRange,ActualDataRange))</f>
        <v>0</v>
      </c>
    </row>
  </sheetData>
  <hyperlinks>
    <hyperlink ref="A1" location="TestCaseConfig!A1" display="Testcase" xr:uid="{D3C83FA6-15C3-A447-AE72-31B7DE8B58CC}"/>
    <hyperlink ref="D2" location="AdvBkngSTD!A1" display="AdvBkngSTD" xr:uid="{079CF956-9AFA-6846-98CF-32CE51D0CE5C}"/>
    <hyperlink ref="D3:D15" location="AdvBkngSTD!A1" display="AdvBkngSTD" xr:uid="{C61BF08D-210A-A84C-AB20-4DD3A04830E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C757-379C-BD45-982F-A9AA36397E0D}">
  <dimension ref="A1:Z36"/>
  <sheetViews>
    <sheetView topLeftCell="I6" zoomScale="167" workbookViewId="0">
      <selection activeCell="R14" sqref="R14"/>
    </sheetView>
  </sheetViews>
  <sheetFormatPr defaultColWidth="11" defaultRowHeight="15.5"/>
  <cols>
    <col min="1" max="1" width="51.83203125" customWidth="1"/>
    <col min="2" max="2" width="14.5" customWidth="1"/>
    <col min="3" max="3" width="25.5" bestFit="1" customWidth="1"/>
    <col min="4" max="4" width="14.83203125" bestFit="1" customWidth="1"/>
    <col min="7" max="7" width="41" bestFit="1" customWidth="1"/>
    <col min="14" max="14" width="37.08203125" bestFit="1" customWidth="1"/>
    <col min="16" max="16" width="20.08203125" bestFit="1" customWidth="1"/>
    <col min="20" max="20" width="22.08203125" bestFit="1" customWidth="1"/>
    <col min="23" max="23" width="27.08203125" bestFit="1" customWidth="1"/>
    <col min="24" max="24" width="7.83203125" bestFit="1" customWidth="1"/>
  </cols>
  <sheetData>
    <row r="1" spans="1:26">
      <c r="A1" s="1" t="s">
        <v>109</v>
      </c>
      <c r="B1" s="1" t="s">
        <v>108</v>
      </c>
      <c r="C1" s="1" t="s">
        <v>0</v>
      </c>
      <c r="D1" s="11" t="s">
        <v>101</v>
      </c>
      <c r="E1" s="1" t="s">
        <v>32</v>
      </c>
      <c r="F1" s="1" t="s">
        <v>9</v>
      </c>
      <c r="G1" s="1" t="s">
        <v>2</v>
      </c>
      <c r="H1" s="1" t="s">
        <v>14</v>
      </c>
      <c r="I1" s="1" t="s">
        <v>24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10</v>
      </c>
      <c r="Q1" s="1" t="s">
        <v>56</v>
      </c>
      <c r="R1" s="1" t="s">
        <v>59</v>
      </c>
      <c r="S1" s="1" t="s">
        <v>11</v>
      </c>
      <c r="T1" s="1" t="s">
        <v>12</v>
      </c>
      <c r="U1" s="1" t="s">
        <v>13</v>
      </c>
      <c r="V1" s="1" t="s">
        <v>40</v>
      </c>
      <c r="W1" s="1" t="s">
        <v>51</v>
      </c>
      <c r="X1" s="12" t="s">
        <v>73</v>
      </c>
      <c r="Y1" s="1" t="s">
        <v>102</v>
      </c>
      <c r="Z1" s="22" t="s">
        <v>119</v>
      </c>
    </row>
    <row r="2" spans="1:26">
      <c r="A2" s="6" t="s">
        <v>94</v>
      </c>
      <c r="B2" s="18" t="s">
        <v>112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13"/>
      <c r="Y2" s="16"/>
      <c r="Z2" t="s">
        <v>120</v>
      </c>
    </row>
    <row r="3" spans="1:26">
      <c r="A3" s="6" t="s">
        <v>81</v>
      </c>
      <c r="B3" s="18" t="s">
        <v>114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13"/>
      <c r="Y3" s="16"/>
      <c r="Z3" t="s">
        <v>121</v>
      </c>
    </row>
    <row r="4" spans="1:26">
      <c r="A4" s="6" t="s">
        <v>82</v>
      </c>
      <c r="B4" s="6"/>
      <c r="C4" s="3" t="s">
        <v>1</v>
      </c>
      <c r="D4" s="3" t="b">
        <v>1</v>
      </c>
      <c r="E4" s="3" t="s">
        <v>35</v>
      </c>
      <c r="F4" s="3" t="s">
        <v>66</v>
      </c>
      <c r="G4" s="3" t="s">
        <v>58</v>
      </c>
      <c r="H4" s="3" t="s">
        <v>67</v>
      </c>
      <c r="I4" s="3" t="s">
        <v>26</v>
      </c>
      <c r="J4" s="3" t="s">
        <v>17</v>
      </c>
      <c r="K4" s="3" t="s">
        <v>29</v>
      </c>
      <c r="L4" s="3" t="s">
        <v>19</v>
      </c>
      <c r="M4" s="3" t="s">
        <v>20</v>
      </c>
      <c r="N4" s="3" t="s">
        <v>20</v>
      </c>
      <c r="O4" s="3" t="s">
        <v>20</v>
      </c>
      <c r="P4" s="3">
        <v>4</v>
      </c>
      <c r="Q4" s="3" t="s">
        <v>20</v>
      </c>
      <c r="R4" s="3" t="s">
        <v>35</v>
      </c>
      <c r="S4" s="3" t="s">
        <v>23</v>
      </c>
      <c r="T4" s="3" t="s">
        <v>21</v>
      </c>
      <c r="U4" s="3" t="s">
        <v>22</v>
      </c>
      <c r="V4" s="3" t="s">
        <v>35</v>
      </c>
      <c r="W4" s="3" t="s">
        <v>52</v>
      </c>
      <c r="X4" s="13"/>
      <c r="Y4" s="16" t="s">
        <v>106</v>
      </c>
    </row>
    <row r="5" spans="1:26">
      <c r="A5" s="6" t="s">
        <v>83</v>
      </c>
      <c r="B5" s="6"/>
      <c r="C5" s="3" t="s">
        <v>1</v>
      </c>
      <c r="D5" s="3" t="b">
        <v>1</v>
      </c>
      <c r="E5" s="3" t="s">
        <v>35</v>
      </c>
      <c r="F5" s="3" t="s">
        <v>66</v>
      </c>
      <c r="G5" s="3" t="s">
        <v>58</v>
      </c>
      <c r="H5" s="3" t="s">
        <v>67</v>
      </c>
      <c r="I5" s="3" t="s">
        <v>26</v>
      </c>
      <c r="J5" s="3" t="s">
        <v>17</v>
      </c>
      <c r="K5" s="3" t="s">
        <v>29</v>
      </c>
      <c r="L5" s="3" t="s">
        <v>19</v>
      </c>
      <c r="M5" s="3" t="s">
        <v>20</v>
      </c>
      <c r="N5" s="3" t="s">
        <v>20</v>
      </c>
      <c r="O5" s="3" t="s">
        <v>20</v>
      </c>
      <c r="P5" s="3">
        <v>2</v>
      </c>
      <c r="Q5" s="3" t="s">
        <v>20</v>
      </c>
      <c r="R5" s="3" t="s">
        <v>35</v>
      </c>
      <c r="S5" s="3" t="s">
        <v>23</v>
      </c>
      <c r="T5" s="3" t="s">
        <v>21</v>
      </c>
      <c r="U5" s="3" t="s">
        <v>22</v>
      </c>
      <c r="V5" s="3" t="s">
        <v>35</v>
      </c>
      <c r="W5" s="3" t="s">
        <v>52</v>
      </c>
      <c r="X5" s="13"/>
      <c r="Y5" s="16" t="s">
        <v>106</v>
      </c>
    </row>
    <row r="6" spans="1:26">
      <c r="A6" s="6" t="s">
        <v>84</v>
      </c>
      <c r="B6" s="6"/>
      <c r="C6" s="3" t="s">
        <v>1</v>
      </c>
      <c r="D6" s="3" t="b">
        <v>1</v>
      </c>
      <c r="E6" s="3" t="s">
        <v>35</v>
      </c>
      <c r="F6" s="3" t="s">
        <v>66</v>
      </c>
      <c r="G6" s="3" t="s">
        <v>58</v>
      </c>
      <c r="H6" s="3" t="s">
        <v>67</v>
      </c>
      <c r="I6" s="3" t="s">
        <v>26</v>
      </c>
      <c r="J6" s="3" t="s">
        <v>17</v>
      </c>
      <c r="K6" s="3" t="s">
        <v>29</v>
      </c>
      <c r="L6" s="3" t="s">
        <v>19</v>
      </c>
      <c r="M6" s="3" t="s">
        <v>20</v>
      </c>
      <c r="N6" s="3" t="s">
        <v>20</v>
      </c>
      <c r="O6" s="3" t="s">
        <v>20</v>
      </c>
      <c r="P6" s="3">
        <v>4</v>
      </c>
      <c r="Q6" s="3" t="s">
        <v>20</v>
      </c>
      <c r="R6" s="3" t="s">
        <v>35</v>
      </c>
      <c r="S6" s="3" t="s">
        <v>23</v>
      </c>
      <c r="T6" s="3" t="s">
        <v>21</v>
      </c>
      <c r="U6" s="3" t="s">
        <v>22</v>
      </c>
      <c r="V6" s="3" t="s">
        <v>35</v>
      </c>
      <c r="W6" s="3" t="s">
        <v>52</v>
      </c>
      <c r="X6" s="13"/>
      <c r="Y6" s="16" t="s">
        <v>106</v>
      </c>
    </row>
    <row r="7" spans="1:26">
      <c r="A7" s="6" t="s">
        <v>85</v>
      </c>
      <c r="B7" s="6"/>
      <c r="C7" s="3" t="s">
        <v>1</v>
      </c>
      <c r="D7" s="3" t="b">
        <v>1</v>
      </c>
      <c r="E7" s="3" t="s">
        <v>35</v>
      </c>
      <c r="F7" s="3" t="s">
        <v>66</v>
      </c>
      <c r="G7" s="3" t="s">
        <v>44</v>
      </c>
      <c r="H7" s="3" t="s">
        <v>67</v>
      </c>
      <c r="I7" s="3" t="s">
        <v>26</v>
      </c>
      <c r="J7" s="3" t="s">
        <v>17</v>
      </c>
      <c r="K7" s="3" t="s">
        <v>29</v>
      </c>
      <c r="L7" s="3" t="s">
        <v>19</v>
      </c>
      <c r="M7" s="3" t="s">
        <v>20</v>
      </c>
      <c r="N7" s="3" t="s">
        <v>20</v>
      </c>
      <c r="O7" s="3" t="s">
        <v>20</v>
      </c>
      <c r="P7" s="3">
        <v>2</v>
      </c>
      <c r="Q7" s="3" t="s">
        <v>20</v>
      </c>
      <c r="R7" s="3" t="s">
        <v>35</v>
      </c>
      <c r="S7" s="3" t="s">
        <v>23</v>
      </c>
      <c r="T7" s="3" t="s">
        <v>21</v>
      </c>
      <c r="U7" s="3" t="s">
        <v>22</v>
      </c>
      <c r="V7" s="3" t="s">
        <v>35</v>
      </c>
      <c r="W7" s="3" t="s">
        <v>52</v>
      </c>
      <c r="X7" s="13"/>
      <c r="Y7" s="16" t="s">
        <v>106</v>
      </c>
    </row>
    <row r="8" spans="1:26">
      <c r="A8" s="6" t="s">
        <v>86</v>
      </c>
      <c r="B8" s="6"/>
      <c r="C8" s="3" t="s">
        <v>1</v>
      </c>
      <c r="D8" s="3" t="b">
        <v>1</v>
      </c>
      <c r="E8" s="3" t="s">
        <v>35</v>
      </c>
      <c r="F8" s="3" t="s">
        <v>66</v>
      </c>
      <c r="G8" s="3" t="s">
        <v>87</v>
      </c>
      <c r="H8" s="3" t="s">
        <v>67</v>
      </c>
      <c r="I8" s="3" t="s">
        <v>26</v>
      </c>
      <c r="J8" s="3" t="s">
        <v>17</v>
      </c>
      <c r="K8" s="3" t="s">
        <v>29</v>
      </c>
      <c r="L8" s="3" t="s">
        <v>19</v>
      </c>
      <c r="M8" s="3" t="s">
        <v>20</v>
      </c>
      <c r="N8" s="3" t="s">
        <v>20</v>
      </c>
      <c r="O8" s="3" t="s">
        <v>20</v>
      </c>
      <c r="P8" s="3">
        <v>4</v>
      </c>
      <c r="Q8" s="3" t="s">
        <v>20</v>
      </c>
      <c r="R8" s="3" t="s">
        <v>35</v>
      </c>
      <c r="S8" s="3" t="s">
        <v>23</v>
      </c>
      <c r="T8" s="3" t="s">
        <v>21</v>
      </c>
      <c r="U8" s="3" t="s">
        <v>22</v>
      </c>
      <c r="V8" s="3" t="s">
        <v>35</v>
      </c>
      <c r="W8" s="3" t="s">
        <v>52</v>
      </c>
      <c r="X8" s="13"/>
      <c r="Y8" s="16" t="s">
        <v>106</v>
      </c>
    </row>
    <row r="9" spans="1:26">
      <c r="A9" s="6" t="s">
        <v>88</v>
      </c>
      <c r="B9" s="6"/>
      <c r="C9" s="3" t="s">
        <v>1</v>
      </c>
      <c r="D9" s="3" t="b">
        <v>1</v>
      </c>
      <c r="E9" s="3" t="s">
        <v>35</v>
      </c>
      <c r="F9" s="3" t="s">
        <v>66</v>
      </c>
      <c r="G9" s="3" t="s">
        <v>89</v>
      </c>
      <c r="H9" s="3" t="s">
        <v>67</v>
      </c>
      <c r="I9" s="3" t="s">
        <v>26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20</v>
      </c>
      <c r="O9" s="3" t="s">
        <v>20</v>
      </c>
      <c r="P9" s="3">
        <v>2</v>
      </c>
      <c r="Q9" s="3" t="s">
        <v>20</v>
      </c>
      <c r="R9" s="3" t="s">
        <v>35</v>
      </c>
      <c r="S9" s="3" t="s">
        <v>23</v>
      </c>
      <c r="T9" s="3" t="s">
        <v>21</v>
      </c>
      <c r="U9" s="3" t="s">
        <v>22</v>
      </c>
      <c r="V9" s="3" t="s">
        <v>35</v>
      </c>
      <c r="W9" s="3" t="s">
        <v>52</v>
      </c>
      <c r="X9" s="13"/>
      <c r="Y9" s="16" t="s">
        <v>106</v>
      </c>
    </row>
    <row r="10" spans="1:26">
      <c r="A10" s="6" t="s">
        <v>90</v>
      </c>
      <c r="B10" s="6"/>
      <c r="C10" s="3" t="s">
        <v>1</v>
      </c>
      <c r="D10" s="3" t="b">
        <v>1</v>
      </c>
      <c r="E10" s="3" t="s">
        <v>35</v>
      </c>
      <c r="F10" s="3" t="s">
        <v>66</v>
      </c>
      <c r="G10" s="3" t="s">
        <v>91</v>
      </c>
      <c r="H10" s="3" t="s">
        <v>67</v>
      </c>
      <c r="I10" s="3" t="s">
        <v>26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20</v>
      </c>
      <c r="O10" s="3" t="s">
        <v>20</v>
      </c>
      <c r="P10" s="3">
        <v>4</v>
      </c>
      <c r="Q10" s="3" t="s">
        <v>20</v>
      </c>
      <c r="R10" s="3" t="s">
        <v>35</v>
      </c>
      <c r="S10" s="3" t="s">
        <v>23</v>
      </c>
      <c r="T10" s="3" t="s">
        <v>21</v>
      </c>
      <c r="U10" s="3" t="s">
        <v>22</v>
      </c>
      <c r="V10" s="3" t="s">
        <v>35</v>
      </c>
      <c r="W10" s="3" t="s">
        <v>52</v>
      </c>
      <c r="X10" s="13"/>
      <c r="Y10" s="16" t="s">
        <v>106</v>
      </c>
    </row>
    <row r="11" spans="1:26">
      <c r="A11" s="6" t="s">
        <v>92</v>
      </c>
      <c r="B11" s="6"/>
      <c r="C11" s="3" t="s">
        <v>1</v>
      </c>
      <c r="D11" s="3" t="b">
        <v>1</v>
      </c>
      <c r="E11" s="3" t="s">
        <v>35</v>
      </c>
      <c r="F11" s="3" t="s">
        <v>66</v>
      </c>
      <c r="G11" s="3" t="s">
        <v>91</v>
      </c>
      <c r="H11" s="3" t="s">
        <v>67</v>
      </c>
      <c r="I11" s="3" t="s">
        <v>26</v>
      </c>
      <c r="J11" s="3" t="s">
        <v>17</v>
      </c>
      <c r="K11" s="3" t="s">
        <v>18</v>
      </c>
      <c r="L11" s="3" t="s">
        <v>19</v>
      </c>
      <c r="M11" s="3" t="s">
        <v>20</v>
      </c>
      <c r="N11" s="3" t="s">
        <v>20</v>
      </c>
      <c r="O11" s="3" t="s">
        <v>20</v>
      </c>
      <c r="P11" s="3">
        <v>2</v>
      </c>
      <c r="Q11" s="3" t="s">
        <v>20</v>
      </c>
      <c r="R11" s="3" t="s">
        <v>35</v>
      </c>
      <c r="S11" s="3" t="s">
        <v>23</v>
      </c>
      <c r="T11" s="3" t="s">
        <v>21</v>
      </c>
      <c r="U11" s="3" t="s">
        <v>22</v>
      </c>
      <c r="V11" s="3" t="s">
        <v>35</v>
      </c>
      <c r="W11" s="3" t="s">
        <v>52</v>
      </c>
      <c r="X11" s="13"/>
      <c r="Y11" s="16" t="s">
        <v>106</v>
      </c>
    </row>
    <row r="12" spans="1:26">
      <c r="A12" s="6" t="s">
        <v>70</v>
      </c>
      <c r="B12" s="6"/>
      <c r="C12" s="3" t="s">
        <v>1</v>
      </c>
      <c r="D12" s="3" t="b">
        <v>1</v>
      </c>
      <c r="E12" s="3" t="s">
        <v>35</v>
      </c>
      <c r="F12" s="3" t="s">
        <v>66</v>
      </c>
      <c r="G12" s="3" t="s">
        <v>27</v>
      </c>
      <c r="H12" s="3" t="s">
        <v>67</v>
      </c>
      <c r="I12" s="3" t="s">
        <v>26</v>
      </c>
      <c r="J12" s="3" t="s">
        <v>17</v>
      </c>
      <c r="K12" s="3" t="s">
        <v>29</v>
      </c>
      <c r="L12" s="3" t="s">
        <v>19</v>
      </c>
      <c r="M12" s="3" t="s">
        <v>20</v>
      </c>
      <c r="N12" s="3" t="s">
        <v>20</v>
      </c>
      <c r="O12" s="3" t="s">
        <v>20</v>
      </c>
      <c r="P12" s="3">
        <v>4</v>
      </c>
      <c r="Q12" s="3" t="s">
        <v>20</v>
      </c>
      <c r="R12" s="3" t="s">
        <v>35</v>
      </c>
      <c r="S12" s="3" t="s">
        <v>23</v>
      </c>
      <c r="T12" s="3" t="s">
        <v>21</v>
      </c>
      <c r="U12" s="3" t="s">
        <v>22</v>
      </c>
      <c r="V12" s="3" t="s">
        <v>35</v>
      </c>
      <c r="W12" s="3" t="s">
        <v>52</v>
      </c>
      <c r="X12" s="13"/>
      <c r="Y12" s="16" t="s">
        <v>106</v>
      </c>
    </row>
    <row r="13" spans="1:26">
      <c r="A13" s="5" t="s">
        <v>30</v>
      </c>
      <c r="B13" s="5"/>
      <c r="C13" s="3" t="s">
        <v>1</v>
      </c>
      <c r="D13" s="3" t="b">
        <v>0</v>
      </c>
      <c r="E13" s="3" t="s">
        <v>33</v>
      </c>
      <c r="F13" s="3" t="s">
        <v>53</v>
      </c>
      <c r="G13" s="3" t="s">
        <v>27</v>
      </c>
      <c r="H13" s="3" t="s">
        <v>28</v>
      </c>
      <c r="I13" s="3" t="s">
        <v>38</v>
      </c>
      <c r="J13" s="3" t="s">
        <v>17</v>
      </c>
      <c r="K13" s="3" t="s">
        <v>18</v>
      </c>
      <c r="L13" s="3" t="s">
        <v>19</v>
      </c>
      <c r="M13" s="3" t="s">
        <v>20</v>
      </c>
      <c r="N13" s="3" t="s">
        <v>20</v>
      </c>
      <c r="O13" s="3" t="s">
        <v>20</v>
      </c>
      <c r="P13" s="3">
        <v>2</v>
      </c>
      <c r="Q13" s="3" t="s">
        <v>20</v>
      </c>
      <c r="R13" s="3" t="s">
        <v>35</v>
      </c>
      <c r="S13" s="3" t="s">
        <v>23</v>
      </c>
      <c r="T13" s="3" t="s">
        <v>21</v>
      </c>
      <c r="U13" s="3" t="s">
        <v>22</v>
      </c>
      <c r="V13" s="3" t="s">
        <v>35</v>
      </c>
      <c r="W13" s="3" t="s">
        <v>52</v>
      </c>
      <c r="X13" s="13"/>
      <c r="Y13" s="16" t="s">
        <v>106</v>
      </c>
    </row>
    <row r="14" spans="1:26">
      <c r="A14" s="5" t="s">
        <v>31</v>
      </c>
      <c r="B14" s="5"/>
      <c r="C14" s="3" t="s">
        <v>1</v>
      </c>
      <c r="D14" s="3" t="b">
        <v>0</v>
      </c>
      <c r="E14" s="3" t="s">
        <v>34</v>
      </c>
      <c r="F14" s="3" t="s">
        <v>53</v>
      </c>
      <c r="G14" s="3" t="s">
        <v>27</v>
      </c>
      <c r="H14" s="3" t="s">
        <v>28</v>
      </c>
      <c r="I14" s="3" t="s">
        <v>26</v>
      </c>
      <c r="J14" s="3" t="s">
        <v>42</v>
      </c>
      <c r="K14" s="3" t="s">
        <v>29</v>
      </c>
      <c r="L14" s="3" t="s">
        <v>19</v>
      </c>
      <c r="M14" s="3" t="s">
        <v>20</v>
      </c>
      <c r="N14" s="3" t="s">
        <v>20</v>
      </c>
      <c r="O14" s="3" t="s">
        <v>20</v>
      </c>
      <c r="P14" s="3">
        <v>4</v>
      </c>
      <c r="Q14" s="3" t="s">
        <v>20</v>
      </c>
      <c r="R14" s="3" t="s">
        <v>35</v>
      </c>
      <c r="S14" s="3" t="s">
        <v>23</v>
      </c>
      <c r="T14" s="3" t="s">
        <v>21</v>
      </c>
      <c r="U14" s="3" t="s">
        <v>22</v>
      </c>
      <c r="V14" s="3" t="s">
        <v>35</v>
      </c>
      <c r="W14" s="3" t="s">
        <v>52</v>
      </c>
      <c r="X14" s="13"/>
      <c r="Y14" s="16" t="s">
        <v>106</v>
      </c>
    </row>
    <row r="15" spans="1:26">
      <c r="A15" s="5" t="s">
        <v>36</v>
      </c>
      <c r="B15" s="5"/>
      <c r="C15" s="3" t="s">
        <v>1</v>
      </c>
      <c r="D15" s="3" t="b">
        <v>0</v>
      </c>
      <c r="E15" s="3" t="s">
        <v>37</v>
      </c>
      <c r="F15" s="3" t="s">
        <v>53</v>
      </c>
      <c r="G15" s="3" t="s">
        <v>39</v>
      </c>
      <c r="H15" s="3" t="s">
        <v>28</v>
      </c>
      <c r="I15" s="3" t="s">
        <v>26</v>
      </c>
      <c r="J15" s="3" t="s">
        <v>17</v>
      </c>
      <c r="K15" s="3" t="s">
        <v>29</v>
      </c>
      <c r="L15" s="3" t="s">
        <v>19</v>
      </c>
      <c r="M15" s="3" t="s">
        <v>20</v>
      </c>
      <c r="N15" s="3" t="s">
        <v>20</v>
      </c>
      <c r="O15" s="3" t="s">
        <v>20</v>
      </c>
      <c r="P15" s="3">
        <v>2</v>
      </c>
      <c r="Q15" s="3" t="s">
        <v>20</v>
      </c>
      <c r="R15" s="3" t="s">
        <v>35</v>
      </c>
      <c r="S15" s="3" t="s">
        <v>23</v>
      </c>
      <c r="T15" s="3" t="s">
        <v>21</v>
      </c>
      <c r="U15" s="3" t="s">
        <v>22</v>
      </c>
      <c r="V15" s="3" t="s">
        <v>41</v>
      </c>
      <c r="W15" s="3" t="s">
        <v>52</v>
      </c>
      <c r="X15" s="13"/>
      <c r="Y15" s="16" t="s">
        <v>106</v>
      </c>
    </row>
    <row r="16" spans="1:26">
      <c r="A16" s="5" t="s">
        <v>43</v>
      </c>
      <c r="B16" s="5"/>
      <c r="C16" s="3" t="s">
        <v>1</v>
      </c>
      <c r="D16" s="3" t="b">
        <v>0</v>
      </c>
      <c r="E16" s="3" t="s">
        <v>44</v>
      </c>
      <c r="F16" s="3" t="s">
        <v>53</v>
      </c>
      <c r="G16" s="3" t="s">
        <v>39</v>
      </c>
      <c r="H16" s="3" t="s">
        <v>28</v>
      </c>
      <c r="I16" s="3" t="s">
        <v>26</v>
      </c>
      <c r="J16" s="3" t="s">
        <v>17</v>
      </c>
      <c r="K16" s="3" t="s">
        <v>18</v>
      </c>
      <c r="L16" s="3" t="s">
        <v>19</v>
      </c>
      <c r="M16" s="3" t="s">
        <v>20</v>
      </c>
      <c r="N16" s="3" t="s">
        <v>20</v>
      </c>
      <c r="O16" s="3" t="s">
        <v>20</v>
      </c>
      <c r="P16" s="3">
        <v>4</v>
      </c>
      <c r="Q16" s="3" t="s">
        <v>20</v>
      </c>
      <c r="R16" s="3" t="s">
        <v>35</v>
      </c>
      <c r="S16" s="3" t="s">
        <v>23</v>
      </c>
      <c r="T16" s="3" t="s">
        <v>21</v>
      </c>
      <c r="U16" s="3" t="s">
        <v>22</v>
      </c>
      <c r="V16" s="3" t="s">
        <v>35</v>
      </c>
      <c r="W16" s="3" t="s">
        <v>52</v>
      </c>
      <c r="X16" s="13"/>
      <c r="Y16" s="16" t="s">
        <v>106</v>
      </c>
    </row>
    <row r="17" spans="1:25">
      <c r="A17" s="5" t="s">
        <v>64</v>
      </c>
      <c r="B17" s="5"/>
      <c r="C17" s="3" t="s">
        <v>1</v>
      </c>
      <c r="D17" s="3" t="b">
        <v>0</v>
      </c>
      <c r="E17" s="3" t="s">
        <v>45</v>
      </c>
      <c r="F17" s="3" t="s">
        <v>66</v>
      </c>
      <c r="G17" s="3" t="s">
        <v>54</v>
      </c>
      <c r="H17" s="3" t="s">
        <v>55</v>
      </c>
      <c r="I17" s="3" t="s">
        <v>58</v>
      </c>
      <c r="J17" s="3" t="s">
        <v>17</v>
      </c>
      <c r="K17" s="3" t="s">
        <v>18</v>
      </c>
      <c r="L17" s="3" t="s">
        <v>19</v>
      </c>
      <c r="M17" s="3" t="s">
        <v>20</v>
      </c>
      <c r="N17" s="3" t="s">
        <v>20</v>
      </c>
      <c r="O17" s="3" t="s">
        <v>20</v>
      </c>
      <c r="P17" s="3">
        <v>2</v>
      </c>
      <c r="Q17" s="3" t="s">
        <v>20</v>
      </c>
      <c r="R17" s="3" t="s">
        <v>55</v>
      </c>
      <c r="S17" s="3" t="s">
        <v>23</v>
      </c>
      <c r="T17" s="3" t="s">
        <v>21</v>
      </c>
      <c r="U17" s="3" t="s">
        <v>22</v>
      </c>
      <c r="V17" s="3" t="s">
        <v>35</v>
      </c>
      <c r="W17" s="3" t="s">
        <v>52</v>
      </c>
      <c r="X17" s="13"/>
      <c r="Y17" s="16" t="s">
        <v>106</v>
      </c>
    </row>
    <row r="18" spans="1:25">
      <c r="A18" s="5" t="s">
        <v>65</v>
      </c>
      <c r="B18" s="5"/>
      <c r="C18" s="3" t="s">
        <v>1</v>
      </c>
      <c r="D18" s="3" t="b">
        <v>0</v>
      </c>
      <c r="E18" s="3" t="s">
        <v>45</v>
      </c>
      <c r="F18" s="3" t="s">
        <v>71</v>
      </c>
      <c r="G18" s="3" t="s">
        <v>63</v>
      </c>
      <c r="H18" s="3" t="s">
        <v>55</v>
      </c>
      <c r="I18" s="3" t="s">
        <v>58</v>
      </c>
      <c r="J18" s="3" t="s">
        <v>17</v>
      </c>
      <c r="K18" s="3" t="s">
        <v>18</v>
      </c>
      <c r="L18" s="3" t="s">
        <v>19</v>
      </c>
      <c r="M18" s="3" t="s">
        <v>20</v>
      </c>
      <c r="N18" s="3" t="s">
        <v>20</v>
      </c>
      <c r="O18" s="3" t="s">
        <v>20</v>
      </c>
      <c r="P18" s="3">
        <v>4</v>
      </c>
      <c r="Q18" s="3" t="s">
        <v>20</v>
      </c>
      <c r="R18" s="3" t="s">
        <v>55</v>
      </c>
      <c r="S18" s="3" t="s">
        <v>23</v>
      </c>
      <c r="T18" s="3" t="s">
        <v>21</v>
      </c>
      <c r="U18" s="3" t="s">
        <v>22</v>
      </c>
      <c r="V18" s="3" t="s">
        <v>35</v>
      </c>
      <c r="W18" s="3" t="s">
        <v>52</v>
      </c>
      <c r="X18" s="13"/>
      <c r="Y18" s="16" t="s">
        <v>106</v>
      </c>
    </row>
    <row r="19" spans="1:25">
      <c r="A19" s="5" t="s">
        <v>46</v>
      </c>
      <c r="B19" s="5"/>
      <c r="C19" s="3" t="s">
        <v>1</v>
      </c>
      <c r="D19" s="3" t="b">
        <v>0</v>
      </c>
      <c r="E19" s="3" t="s">
        <v>47</v>
      </c>
      <c r="F19" s="3" t="s">
        <v>71</v>
      </c>
      <c r="G19" s="3" t="s">
        <v>57</v>
      </c>
      <c r="H19" s="3" t="s">
        <v>28</v>
      </c>
      <c r="I19" s="3" t="s">
        <v>58</v>
      </c>
      <c r="J19" s="3" t="s">
        <v>17</v>
      </c>
      <c r="K19" s="3" t="s">
        <v>18</v>
      </c>
      <c r="L19" s="3" t="s">
        <v>19</v>
      </c>
      <c r="M19" s="3" t="s">
        <v>20</v>
      </c>
      <c r="N19" s="3" t="s">
        <v>20</v>
      </c>
      <c r="O19" s="3" t="s">
        <v>20</v>
      </c>
      <c r="P19" s="3">
        <v>2</v>
      </c>
      <c r="Q19" s="3" t="s">
        <v>20</v>
      </c>
      <c r="R19" s="3" t="s">
        <v>60</v>
      </c>
      <c r="S19" s="3" t="s">
        <v>23</v>
      </c>
      <c r="T19" s="3" t="s">
        <v>21</v>
      </c>
      <c r="U19" s="3" t="s">
        <v>22</v>
      </c>
      <c r="V19" s="3" t="s">
        <v>35</v>
      </c>
      <c r="W19" s="3" t="s">
        <v>52</v>
      </c>
      <c r="X19" s="13"/>
      <c r="Y19" s="16" t="s">
        <v>106</v>
      </c>
    </row>
    <row r="20" spans="1:25">
      <c r="A20" s="5" t="s">
        <v>68</v>
      </c>
      <c r="B20" s="5"/>
      <c r="C20" s="3" t="s">
        <v>1</v>
      </c>
      <c r="D20" s="3" t="b">
        <v>0</v>
      </c>
      <c r="E20" s="3" t="s">
        <v>47</v>
      </c>
      <c r="F20" s="3" t="s">
        <v>66</v>
      </c>
      <c r="G20" s="3" t="s">
        <v>69</v>
      </c>
      <c r="H20" s="3" t="s">
        <v>55</v>
      </c>
      <c r="I20" s="3" t="s">
        <v>58</v>
      </c>
      <c r="J20" s="3" t="s">
        <v>17</v>
      </c>
      <c r="K20" s="3" t="s">
        <v>18</v>
      </c>
      <c r="L20" s="3" t="s">
        <v>19</v>
      </c>
      <c r="M20" s="3" t="s">
        <v>20</v>
      </c>
      <c r="N20" s="3" t="s">
        <v>20</v>
      </c>
      <c r="O20" s="3" t="s">
        <v>20</v>
      </c>
      <c r="P20" s="3">
        <v>4</v>
      </c>
      <c r="Q20" s="3" t="s">
        <v>20</v>
      </c>
      <c r="R20" s="3" t="s">
        <v>55</v>
      </c>
      <c r="S20" s="3" t="s">
        <v>23</v>
      </c>
      <c r="T20" s="3" t="s">
        <v>21</v>
      </c>
      <c r="U20" s="3" t="s">
        <v>22</v>
      </c>
      <c r="V20" s="3" t="s">
        <v>35</v>
      </c>
      <c r="W20" s="3" t="s">
        <v>52</v>
      </c>
      <c r="X20" s="13"/>
      <c r="Y20" s="16" t="s">
        <v>106</v>
      </c>
    </row>
    <row r="21" spans="1:25">
      <c r="A21" s="5" t="s">
        <v>48</v>
      </c>
      <c r="B21" s="5"/>
      <c r="C21" s="3" t="s">
        <v>1</v>
      </c>
      <c r="D21" s="3" t="b">
        <v>0</v>
      </c>
      <c r="E21" s="3" t="s">
        <v>49</v>
      </c>
      <c r="F21" s="3" t="s">
        <v>72</v>
      </c>
      <c r="G21" s="3" t="s">
        <v>39</v>
      </c>
      <c r="H21" s="3" t="s">
        <v>28</v>
      </c>
      <c r="I21" s="3" t="s">
        <v>50</v>
      </c>
      <c r="J21" s="3" t="s">
        <v>17</v>
      </c>
      <c r="K21" s="3" t="s">
        <v>18</v>
      </c>
      <c r="L21" s="3" t="s">
        <v>19</v>
      </c>
      <c r="M21" s="3" t="s">
        <v>20</v>
      </c>
      <c r="N21" s="3" t="s">
        <v>20</v>
      </c>
      <c r="O21" s="3" t="s">
        <v>20</v>
      </c>
      <c r="P21" s="3">
        <v>2</v>
      </c>
      <c r="Q21" s="3" t="s">
        <v>20</v>
      </c>
      <c r="R21" s="3" t="s">
        <v>35</v>
      </c>
      <c r="S21" s="3" t="s">
        <v>23</v>
      </c>
      <c r="T21" s="3" t="s">
        <v>21</v>
      </c>
      <c r="U21" s="3" t="s">
        <v>22</v>
      </c>
      <c r="V21" s="3" t="s">
        <v>35</v>
      </c>
      <c r="W21" s="3" t="s">
        <v>52</v>
      </c>
      <c r="X21" s="13"/>
      <c r="Y21" s="16" t="s">
        <v>106</v>
      </c>
    </row>
    <row r="22" spans="1:25">
      <c r="A22" s="5" t="s">
        <v>76</v>
      </c>
      <c r="B22" s="5"/>
      <c r="C22" s="3" t="s">
        <v>1</v>
      </c>
      <c r="D22" s="3" t="b">
        <v>0</v>
      </c>
      <c r="E22" s="3" t="s">
        <v>62</v>
      </c>
      <c r="F22" s="3" t="s">
        <v>53</v>
      </c>
      <c r="G22" s="3" t="s">
        <v>39</v>
      </c>
      <c r="H22" s="3" t="s">
        <v>28</v>
      </c>
      <c r="I22" s="3" t="s">
        <v>61</v>
      </c>
      <c r="J22" s="3" t="s">
        <v>75</v>
      </c>
      <c r="K22" s="3" t="s">
        <v>18</v>
      </c>
      <c r="L22" s="3" t="s">
        <v>19</v>
      </c>
      <c r="M22" s="3" t="s">
        <v>20</v>
      </c>
      <c r="N22" s="3" t="s">
        <v>20</v>
      </c>
      <c r="O22" s="3" t="s">
        <v>20</v>
      </c>
      <c r="P22" s="3">
        <v>4</v>
      </c>
      <c r="Q22" s="3" t="s">
        <v>20</v>
      </c>
      <c r="R22" s="3" t="s">
        <v>35</v>
      </c>
      <c r="S22" s="3" t="s">
        <v>23</v>
      </c>
      <c r="T22" s="3" t="s">
        <v>21</v>
      </c>
      <c r="U22" s="3" t="s">
        <v>22</v>
      </c>
      <c r="V22" s="3" t="s">
        <v>35</v>
      </c>
      <c r="W22" s="3" t="s">
        <v>52</v>
      </c>
      <c r="X22" s="13"/>
      <c r="Y22" s="16" t="s">
        <v>106</v>
      </c>
    </row>
    <row r="23" spans="1:25">
      <c r="A23" s="5" t="s">
        <v>77</v>
      </c>
      <c r="B23" s="5"/>
      <c r="C23" s="3" t="s">
        <v>1</v>
      </c>
      <c r="D23" s="3" t="b">
        <v>0</v>
      </c>
      <c r="E23" s="3" t="s">
        <v>62</v>
      </c>
      <c r="F23" s="3" t="s">
        <v>53</v>
      </c>
      <c r="G23" s="3" t="s">
        <v>39</v>
      </c>
      <c r="H23" s="3" t="s">
        <v>28</v>
      </c>
      <c r="I23" s="3" t="s">
        <v>61</v>
      </c>
      <c r="J23" s="3" t="s">
        <v>75</v>
      </c>
      <c r="K23" s="3" t="s">
        <v>18</v>
      </c>
      <c r="L23" s="3" t="s">
        <v>19</v>
      </c>
      <c r="M23" s="3" t="s">
        <v>20</v>
      </c>
      <c r="N23" s="3" t="s">
        <v>20</v>
      </c>
      <c r="O23" s="3" t="s">
        <v>20</v>
      </c>
      <c r="P23" s="3">
        <v>2</v>
      </c>
      <c r="Q23" s="3" t="s">
        <v>20</v>
      </c>
      <c r="R23" s="3" t="s">
        <v>35</v>
      </c>
      <c r="S23" s="3" t="s">
        <v>23</v>
      </c>
      <c r="T23" s="3" t="s">
        <v>21</v>
      </c>
      <c r="U23" s="3" t="s">
        <v>22</v>
      </c>
      <c r="V23" s="3" t="s">
        <v>35</v>
      </c>
      <c r="W23" s="3" t="s">
        <v>52</v>
      </c>
      <c r="X23" s="13"/>
      <c r="Y23" s="16" t="s">
        <v>106</v>
      </c>
    </row>
    <row r="24" spans="1:25">
      <c r="A24" s="9" t="s">
        <v>95</v>
      </c>
      <c r="B24" s="9"/>
      <c r="C24" s="3" t="s">
        <v>1</v>
      </c>
      <c r="D24" s="3" t="b">
        <v>0</v>
      </c>
      <c r="E24" s="3" t="s">
        <v>35</v>
      </c>
      <c r="F24" s="3" t="s">
        <v>35</v>
      </c>
      <c r="G24" s="3" t="s">
        <v>35</v>
      </c>
      <c r="H24" s="3" t="s">
        <v>35</v>
      </c>
      <c r="I24" s="3" t="s">
        <v>35</v>
      </c>
      <c r="J24" s="3" t="s">
        <v>35</v>
      </c>
      <c r="K24" s="3" t="s">
        <v>35</v>
      </c>
      <c r="L24" s="3" t="s">
        <v>35</v>
      </c>
      <c r="M24" s="3" t="s">
        <v>35</v>
      </c>
      <c r="N24" s="3" t="s">
        <v>35</v>
      </c>
      <c r="O24" s="3" t="s">
        <v>35</v>
      </c>
      <c r="P24" s="3">
        <v>4</v>
      </c>
      <c r="Q24" s="3" t="s">
        <v>35</v>
      </c>
      <c r="R24" s="3" t="s">
        <v>35</v>
      </c>
      <c r="S24" s="3" t="s">
        <v>35</v>
      </c>
      <c r="T24" s="3" t="s">
        <v>35</v>
      </c>
      <c r="U24" s="3" t="s">
        <v>35</v>
      </c>
      <c r="V24" s="3" t="s">
        <v>35</v>
      </c>
      <c r="W24" s="3" t="s">
        <v>35</v>
      </c>
      <c r="X24" s="13">
        <v>76070761</v>
      </c>
      <c r="Y24" s="16" t="s">
        <v>106</v>
      </c>
    </row>
    <row r="25" spans="1:25">
      <c r="A25" s="9" t="s">
        <v>96</v>
      </c>
      <c r="B25" s="9"/>
      <c r="C25" s="3" t="s">
        <v>1</v>
      </c>
      <c r="D25" s="3" t="b">
        <v>0</v>
      </c>
      <c r="E25" s="3" t="s">
        <v>35</v>
      </c>
      <c r="F25" s="3" t="s">
        <v>35</v>
      </c>
      <c r="G25" s="3" t="s">
        <v>35</v>
      </c>
      <c r="H25" s="3" t="s">
        <v>35</v>
      </c>
      <c r="I25" s="3" t="s">
        <v>35</v>
      </c>
      <c r="J25" s="3" t="s">
        <v>35</v>
      </c>
      <c r="K25" s="3" t="s">
        <v>35</v>
      </c>
      <c r="L25" s="3" t="s">
        <v>35</v>
      </c>
      <c r="M25" s="3" t="s">
        <v>35</v>
      </c>
      <c r="N25" s="3" t="s">
        <v>35</v>
      </c>
      <c r="O25" s="3" t="s">
        <v>35</v>
      </c>
      <c r="P25" s="3">
        <v>2</v>
      </c>
      <c r="Q25" s="3" t="s">
        <v>35</v>
      </c>
      <c r="R25" s="3" t="s">
        <v>35</v>
      </c>
      <c r="S25" s="3" t="s">
        <v>35</v>
      </c>
      <c r="T25" s="3" t="s">
        <v>35</v>
      </c>
      <c r="U25" s="3" t="s">
        <v>35</v>
      </c>
      <c r="V25" s="3" t="s">
        <v>35</v>
      </c>
      <c r="W25" s="3" t="s">
        <v>35</v>
      </c>
      <c r="X25" s="13">
        <v>76070761</v>
      </c>
      <c r="Y25" s="16" t="s">
        <v>106</v>
      </c>
    </row>
    <row r="26" spans="1:25">
      <c r="A26" s="8" t="s">
        <v>100</v>
      </c>
      <c r="B26" s="8"/>
      <c r="C26" s="3" t="s">
        <v>1</v>
      </c>
      <c r="D26" s="3" t="b">
        <v>0</v>
      </c>
      <c r="E26" s="3" t="s">
        <v>35</v>
      </c>
      <c r="F26" s="3" t="s">
        <v>35</v>
      </c>
      <c r="G26" s="3" t="s">
        <v>35</v>
      </c>
      <c r="H26" s="3" t="s">
        <v>35</v>
      </c>
      <c r="I26" s="3" t="s">
        <v>35</v>
      </c>
      <c r="J26" s="3" t="s">
        <v>35</v>
      </c>
      <c r="K26" s="3" t="s">
        <v>35</v>
      </c>
      <c r="L26" s="3" t="s">
        <v>35</v>
      </c>
      <c r="M26" s="3" t="s">
        <v>35</v>
      </c>
      <c r="N26" s="3" t="s">
        <v>35</v>
      </c>
      <c r="O26" s="3" t="s">
        <v>35</v>
      </c>
      <c r="P26" s="3">
        <v>4</v>
      </c>
      <c r="Q26" s="3" t="s">
        <v>35</v>
      </c>
      <c r="R26" s="3" t="s">
        <v>35</v>
      </c>
      <c r="S26" s="3" t="s">
        <v>35</v>
      </c>
      <c r="T26" s="3" t="s">
        <v>35</v>
      </c>
      <c r="U26" s="3" t="s">
        <v>35</v>
      </c>
      <c r="V26" s="3" t="s">
        <v>35</v>
      </c>
      <c r="W26" s="3" t="s">
        <v>35</v>
      </c>
      <c r="X26" s="17" t="s">
        <v>107</v>
      </c>
      <c r="Y26" s="16" t="s">
        <v>106</v>
      </c>
    </row>
    <row r="27" spans="1:25">
      <c r="A27" s="8" t="s">
        <v>78</v>
      </c>
      <c r="B27" s="8"/>
      <c r="C27" s="3" t="s">
        <v>1</v>
      </c>
      <c r="D27" s="3" t="b">
        <v>0</v>
      </c>
      <c r="E27" s="3" t="s">
        <v>35</v>
      </c>
      <c r="F27" s="3" t="s">
        <v>35</v>
      </c>
      <c r="G27" s="3" t="s">
        <v>35</v>
      </c>
      <c r="H27" s="3" t="s">
        <v>35</v>
      </c>
      <c r="I27" s="3" t="s">
        <v>35</v>
      </c>
      <c r="J27" s="3" t="s">
        <v>35</v>
      </c>
      <c r="K27" s="3" t="s">
        <v>35</v>
      </c>
      <c r="L27" s="3" t="s">
        <v>35</v>
      </c>
      <c r="M27" s="3" t="s">
        <v>35</v>
      </c>
      <c r="N27" s="3" t="s">
        <v>35</v>
      </c>
      <c r="O27" s="3" t="s">
        <v>35</v>
      </c>
      <c r="P27" s="3">
        <v>2</v>
      </c>
      <c r="Q27" s="3" t="s">
        <v>35</v>
      </c>
      <c r="R27" s="3" t="s">
        <v>35</v>
      </c>
      <c r="S27" s="3" t="s">
        <v>35</v>
      </c>
      <c r="T27" s="3" t="s">
        <v>35</v>
      </c>
      <c r="U27" s="3" t="s">
        <v>35</v>
      </c>
      <c r="V27" s="3" t="s">
        <v>35</v>
      </c>
      <c r="W27" s="3" t="s">
        <v>35</v>
      </c>
      <c r="X27" s="17" t="s">
        <v>107</v>
      </c>
      <c r="Y27" s="16" t="s">
        <v>106</v>
      </c>
    </row>
    <row r="28" spans="1:25">
      <c r="A28" s="8" t="s">
        <v>79</v>
      </c>
      <c r="B28" s="8"/>
      <c r="C28" s="3" t="s">
        <v>1</v>
      </c>
      <c r="D28" s="3" t="b">
        <v>0</v>
      </c>
      <c r="E28" s="3" t="s">
        <v>35</v>
      </c>
      <c r="F28" s="3" t="s">
        <v>35</v>
      </c>
      <c r="G28" s="3" t="s">
        <v>35</v>
      </c>
      <c r="H28" s="3" t="s">
        <v>35</v>
      </c>
      <c r="I28" s="3" t="s">
        <v>35</v>
      </c>
      <c r="J28" s="3" t="s">
        <v>35</v>
      </c>
      <c r="K28" s="3" t="s">
        <v>35</v>
      </c>
      <c r="L28" s="3" t="s">
        <v>35</v>
      </c>
      <c r="M28" s="3" t="s">
        <v>35</v>
      </c>
      <c r="N28" s="3" t="s">
        <v>35</v>
      </c>
      <c r="O28" s="3" t="s">
        <v>35</v>
      </c>
      <c r="P28" s="3">
        <v>4</v>
      </c>
      <c r="Q28" s="3" t="s">
        <v>35</v>
      </c>
      <c r="R28" s="3" t="s">
        <v>35</v>
      </c>
      <c r="S28" s="3" t="s">
        <v>35</v>
      </c>
      <c r="T28" s="3" t="s">
        <v>35</v>
      </c>
      <c r="U28" s="3" t="s">
        <v>35</v>
      </c>
      <c r="V28" s="3" t="s">
        <v>35</v>
      </c>
      <c r="W28" s="3" t="s">
        <v>35</v>
      </c>
      <c r="X28" s="17" t="s">
        <v>107</v>
      </c>
      <c r="Y28" s="16" t="s">
        <v>106</v>
      </c>
    </row>
    <row r="29" spans="1:25">
      <c r="A29" s="8" t="s">
        <v>80</v>
      </c>
      <c r="B29" s="8"/>
      <c r="C29" s="3" t="s">
        <v>1</v>
      </c>
      <c r="D29" s="3" t="b">
        <v>0</v>
      </c>
      <c r="E29" s="3" t="s">
        <v>35</v>
      </c>
      <c r="F29" s="3" t="s">
        <v>35</v>
      </c>
      <c r="G29" s="3" t="s">
        <v>35</v>
      </c>
      <c r="H29" s="3" t="s">
        <v>35</v>
      </c>
      <c r="I29" s="3" t="s">
        <v>35</v>
      </c>
      <c r="J29" s="3" t="s">
        <v>35</v>
      </c>
      <c r="K29" s="3" t="s">
        <v>35</v>
      </c>
      <c r="L29" s="3" t="s">
        <v>35</v>
      </c>
      <c r="M29" s="3" t="s">
        <v>35</v>
      </c>
      <c r="N29" s="3" t="s">
        <v>35</v>
      </c>
      <c r="O29" s="3" t="s">
        <v>35</v>
      </c>
      <c r="P29" s="3">
        <v>2</v>
      </c>
      <c r="Q29" s="3" t="s">
        <v>35</v>
      </c>
      <c r="R29" s="3" t="s">
        <v>35</v>
      </c>
      <c r="S29" s="3" t="s">
        <v>35</v>
      </c>
      <c r="T29" s="3" t="s">
        <v>35</v>
      </c>
      <c r="U29" s="3" t="s">
        <v>35</v>
      </c>
      <c r="V29" s="3" t="s">
        <v>35</v>
      </c>
      <c r="W29" s="3" t="s">
        <v>35</v>
      </c>
      <c r="X29" s="17" t="s">
        <v>107</v>
      </c>
      <c r="Y29" s="16" t="s">
        <v>106</v>
      </c>
    </row>
    <row r="30" spans="1:25">
      <c r="A30" s="7" t="s">
        <v>105</v>
      </c>
      <c r="B30" s="7"/>
      <c r="C30" s="3" t="s">
        <v>1</v>
      </c>
      <c r="D30" s="3" t="b">
        <v>0</v>
      </c>
      <c r="E30" s="3" t="s">
        <v>35</v>
      </c>
      <c r="F30" s="3" t="s">
        <v>35</v>
      </c>
      <c r="G30" s="3" t="s">
        <v>35</v>
      </c>
      <c r="H30" s="3" t="s">
        <v>35</v>
      </c>
      <c r="I30" s="3" t="s">
        <v>35</v>
      </c>
      <c r="J30" s="3" t="s">
        <v>35</v>
      </c>
      <c r="K30" s="3" t="s">
        <v>35</v>
      </c>
      <c r="L30" s="3" t="s">
        <v>35</v>
      </c>
      <c r="M30" s="3" t="s">
        <v>35</v>
      </c>
      <c r="N30" s="3" t="s">
        <v>35</v>
      </c>
      <c r="O30" s="3" t="s">
        <v>35</v>
      </c>
      <c r="P30" s="3">
        <v>4</v>
      </c>
      <c r="Q30" s="3" t="s">
        <v>35</v>
      </c>
      <c r="R30" s="3" t="s">
        <v>35</v>
      </c>
      <c r="S30" s="3" t="s">
        <v>35</v>
      </c>
      <c r="T30" s="3" t="s">
        <v>35</v>
      </c>
      <c r="U30" s="3" t="s">
        <v>35</v>
      </c>
      <c r="V30" s="3" t="s">
        <v>35</v>
      </c>
      <c r="W30" s="3" t="s">
        <v>35</v>
      </c>
      <c r="X30" s="13">
        <v>75108176</v>
      </c>
      <c r="Y30" s="15" t="s">
        <v>104</v>
      </c>
    </row>
    <row r="31" spans="1:25">
      <c r="A31" s="7" t="s">
        <v>74</v>
      </c>
      <c r="B31" s="7"/>
      <c r="C31" s="3" t="s">
        <v>1</v>
      </c>
      <c r="D31" s="3" t="b">
        <v>0</v>
      </c>
      <c r="E31" s="3" t="s">
        <v>35</v>
      </c>
      <c r="F31" s="3" t="s">
        <v>35</v>
      </c>
      <c r="G31" s="3" t="s">
        <v>35</v>
      </c>
      <c r="H31" s="3" t="s">
        <v>35</v>
      </c>
      <c r="I31" s="3" t="s">
        <v>35</v>
      </c>
      <c r="J31" s="3" t="s">
        <v>35</v>
      </c>
      <c r="K31" s="3" t="s">
        <v>35</v>
      </c>
      <c r="L31" s="3" t="s">
        <v>35</v>
      </c>
      <c r="M31" s="3" t="s">
        <v>35</v>
      </c>
      <c r="N31" s="3" t="s">
        <v>35</v>
      </c>
      <c r="O31" s="3" t="s">
        <v>35</v>
      </c>
      <c r="P31" s="3">
        <v>2</v>
      </c>
      <c r="Q31" s="3" t="s">
        <v>35</v>
      </c>
      <c r="R31" s="3" t="s">
        <v>35</v>
      </c>
      <c r="S31" s="3" t="s">
        <v>35</v>
      </c>
      <c r="T31" s="3" t="s">
        <v>35</v>
      </c>
      <c r="U31" s="3" t="s">
        <v>35</v>
      </c>
      <c r="V31" s="3" t="s">
        <v>35</v>
      </c>
      <c r="W31" s="3" t="s">
        <v>35</v>
      </c>
      <c r="X31" s="13">
        <v>75108176</v>
      </c>
      <c r="Y31" s="2"/>
    </row>
    <row r="32" spans="1:25">
      <c r="A32" s="7" t="s">
        <v>103</v>
      </c>
      <c r="B32" s="7"/>
      <c r="C32" s="4" t="s">
        <v>1</v>
      </c>
      <c r="D32" s="4" t="b">
        <v>0</v>
      </c>
      <c r="E32" s="4" t="s">
        <v>35</v>
      </c>
      <c r="F32" s="4" t="s">
        <v>35</v>
      </c>
      <c r="G32" s="4" t="s">
        <v>35</v>
      </c>
      <c r="H32" s="4" t="s">
        <v>35</v>
      </c>
      <c r="I32" s="4" t="s">
        <v>35</v>
      </c>
      <c r="J32" s="4" t="s">
        <v>35</v>
      </c>
      <c r="K32" s="4" t="s">
        <v>35</v>
      </c>
      <c r="L32" s="4" t="s">
        <v>35</v>
      </c>
      <c r="M32" s="4" t="s">
        <v>35</v>
      </c>
      <c r="N32" s="4" t="s">
        <v>35</v>
      </c>
      <c r="O32" s="4" t="s">
        <v>35</v>
      </c>
      <c r="P32" s="4">
        <v>4</v>
      </c>
      <c r="Q32" s="4" t="s">
        <v>35</v>
      </c>
      <c r="R32" s="4" t="s">
        <v>35</v>
      </c>
      <c r="S32" s="4" t="s">
        <v>35</v>
      </c>
      <c r="T32" s="4" t="s">
        <v>35</v>
      </c>
      <c r="U32" s="4" t="s">
        <v>35</v>
      </c>
      <c r="V32" s="4" t="s">
        <v>35</v>
      </c>
      <c r="W32" s="4" t="s">
        <v>35</v>
      </c>
      <c r="X32" s="14">
        <v>75108176</v>
      </c>
      <c r="Y32" s="15" t="s">
        <v>104</v>
      </c>
    </row>
    <row r="33" spans="1:25">
      <c r="A33" s="5" t="s">
        <v>93</v>
      </c>
      <c r="B33" s="5"/>
      <c r="C33" s="3" t="s">
        <v>1</v>
      </c>
      <c r="D33" s="3" t="b">
        <v>1</v>
      </c>
      <c r="E33" s="3" t="s">
        <v>35</v>
      </c>
      <c r="F33" s="3" t="s">
        <v>66</v>
      </c>
      <c r="G33" s="3" t="s">
        <v>27</v>
      </c>
      <c r="H33" s="3" t="s">
        <v>67</v>
      </c>
      <c r="I33" s="3" t="s">
        <v>26</v>
      </c>
      <c r="J33" s="3" t="s">
        <v>17</v>
      </c>
      <c r="K33" s="3" t="s">
        <v>29</v>
      </c>
      <c r="L33" s="3" t="s">
        <v>19</v>
      </c>
      <c r="M33" s="3" t="s">
        <v>20</v>
      </c>
      <c r="N33" s="3" t="s">
        <v>20</v>
      </c>
      <c r="O33" s="3" t="s">
        <v>20</v>
      </c>
      <c r="P33" s="3">
        <v>2</v>
      </c>
      <c r="Q33" s="3" t="s">
        <v>20</v>
      </c>
      <c r="R33" s="3" t="s">
        <v>35</v>
      </c>
      <c r="S33" s="3" t="s">
        <v>23</v>
      </c>
      <c r="T33" s="3" t="s">
        <v>21</v>
      </c>
      <c r="U33" s="3" t="s">
        <v>22</v>
      </c>
      <c r="V33" s="3" t="s">
        <v>35</v>
      </c>
      <c r="W33" s="3" t="s">
        <v>52</v>
      </c>
      <c r="X33" s="13"/>
      <c r="Y33" s="2"/>
    </row>
    <row r="34" spans="1:25">
      <c r="A34" s="5" t="s">
        <v>97</v>
      </c>
      <c r="B34" s="5"/>
      <c r="C34" s="3" t="s">
        <v>1</v>
      </c>
      <c r="D34" s="3" t="b">
        <v>1</v>
      </c>
      <c r="E34" s="3" t="s">
        <v>35</v>
      </c>
      <c r="F34" s="3" t="s">
        <v>66</v>
      </c>
      <c r="G34" s="3" t="s">
        <v>87</v>
      </c>
      <c r="H34" s="3" t="s">
        <v>67</v>
      </c>
      <c r="I34" s="3" t="s">
        <v>26</v>
      </c>
      <c r="J34" s="3" t="s">
        <v>17</v>
      </c>
      <c r="K34" s="3" t="s">
        <v>29</v>
      </c>
      <c r="L34" s="3" t="s">
        <v>19</v>
      </c>
      <c r="M34" s="3" t="s">
        <v>20</v>
      </c>
      <c r="N34" s="3" t="s">
        <v>20</v>
      </c>
      <c r="O34" s="3" t="s">
        <v>20</v>
      </c>
      <c r="P34" s="3">
        <v>4</v>
      </c>
      <c r="Q34" s="3" t="s">
        <v>20</v>
      </c>
      <c r="R34" s="3" t="s">
        <v>35</v>
      </c>
      <c r="S34" s="3" t="s">
        <v>23</v>
      </c>
      <c r="T34" s="3" t="s">
        <v>21</v>
      </c>
      <c r="U34" s="3" t="s">
        <v>22</v>
      </c>
      <c r="V34" s="3" t="s">
        <v>35</v>
      </c>
      <c r="W34" s="3" t="s">
        <v>52</v>
      </c>
      <c r="X34" s="13"/>
      <c r="Y34" s="2"/>
    </row>
    <row r="35" spans="1:25">
      <c r="A35" s="5" t="s">
        <v>98</v>
      </c>
      <c r="B35" s="5"/>
      <c r="C35" s="3" t="s">
        <v>1</v>
      </c>
      <c r="D35" s="3" t="b">
        <v>1</v>
      </c>
      <c r="E35" s="3" t="s">
        <v>35</v>
      </c>
      <c r="F35" s="3" t="s">
        <v>53</v>
      </c>
      <c r="G35" s="3" t="s">
        <v>15</v>
      </c>
      <c r="H35" s="3" t="s">
        <v>16</v>
      </c>
      <c r="I35" s="3" t="s">
        <v>25</v>
      </c>
      <c r="J35" s="3" t="s">
        <v>17</v>
      </c>
      <c r="K35" s="3" t="s">
        <v>18</v>
      </c>
      <c r="L35" s="3" t="s">
        <v>19</v>
      </c>
      <c r="M35" s="3" t="s">
        <v>20</v>
      </c>
      <c r="N35" s="3" t="s">
        <v>20</v>
      </c>
      <c r="O35" s="3" t="s">
        <v>20</v>
      </c>
      <c r="P35" s="3">
        <v>2</v>
      </c>
      <c r="Q35" s="3" t="s">
        <v>20</v>
      </c>
      <c r="R35" s="3" t="s">
        <v>35</v>
      </c>
      <c r="S35" s="3" t="s">
        <v>23</v>
      </c>
      <c r="T35" s="3" t="s">
        <v>21</v>
      </c>
      <c r="U35" s="3" t="s">
        <v>22</v>
      </c>
      <c r="V35" s="3" t="s">
        <v>35</v>
      </c>
      <c r="W35" s="3" t="s">
        <v>52</v>
      </c>
      <c r="X35" s="13"/>
      <c r="Y35" s="2"/>
    </row>
    <row r="36" spans="1:25">
      <c r="A36" s="5" t="s">
        <v>99</v>
      </c>
      <c r="B36" s="5"/>
      <c r="C36" s="3" t="s">
        <v>1</v>
      </c>
      <c r="D36" s="3" t="b">
        <v>1</v>
      </c>
      <c r="E36" s="3" t="s">
        <v>35</v>
      </c>
      <c r="F36" s="3" t="s">
        <v>66</v>
      </c>
      <c r="G36" s="3" t="s">
        <v>58</v>
      </c>
      <c r="H36" s="3" t="s">
        <v>67</v>
      </c>
      <c r="I36" s="3" t="s">
        <v>26</v>
      </c>
      <c r="J36" s="3" t="s">
        <v>17</v>
      </c>
      <c r="K36" s="3" t="s">
        <v>29</v>
      </c>
      <c r="L36" s="3" t="s">
        <v>19</v>
      </c>
      <c r="M36" s="3" t="s">
        <v>20</v>
      </c>
      <c r="N36" s="3" t="s">
        <v>20</v>
      </c>
      <c r="O36" s="3" t="s">
        <v>20</v>
      </c>
      <c r="P36" s="3">
        <v>4</v>
      </c>
      <c r="Q36" s="3" t="s">
        <v>20</v>
      </c>
      <c r="R36" s="3" t="s">
        <v>35</v>
      </c>
      <c r="S36" s="3" t="s">
        <v>23</v>
      </c>
      <c r="T36" s="3" t="s">
        <v>21</v>
      </c>
      <c r="U36" s="3" t="s">
        <v>22</v>
      </c>
      <c r="V36" s="3" t="s">
        <v>35</v>
      </c>
      <c r="W36" s="3" t="s">
        <v>52</v>
      </c>
      <c r="X36" s="13"/>
      <c r="Y36" s="2"/>
    </row>
  </sheetData>
  <hyperlinks>
    <hyperlink ref="C12" r:id="rId1" xr:uid="{66B48531-D429-FA4F-911F-B7E7E2ACCE1F}"/>
    <hyperlink ref="C13" r:id="rId2" xr:uid="{DD7EB2EA-588F-C349-A785-FEA15647F0A8}"/>
    <hyperlink ref="C14" r:id="rId3" xr:uid="{9864EA4C-A855-5F48-8BE0-6AAB69DA79D3}"/>
    <hyperlink ref="C15" r:id="rId4" xr:uid="{0707CCA0-B343-EF45-B469-FB25233054E9}"/>
    <hyperlink ref="C16" r:id="rId5" xr:uid="{9E2F0E7F-DF87-364D-8BA0-F4D142D3E699}"/>
    <hyperlink ref="C19" r:id="rId6" xr:uid="{362F31B9-7580-0F4D-8D97-74C0FFF511CF}"/>
    <hyperlink ref="C21" r:id="rId7" xr:uid="{AAA583F2-F1A8-5B41-9840-5BCDA4385074}"/>
    <hyperlink ref="C17" r:id="rId8" xr:uid="{F8FF28DB-150F-1842-82AA-8EF5C71B729D}"/>
    <hyperlink ref="C22" r:id="rId9" xr:uid="{A4439F60-EE04-264D-95B9-DC4001D2B6AC}"/>
    <hyperlink ref="C18" r:id="rId10" xr:uid="{1142ADCF-458D-5F43-B069-1E560B784BEC}"/>
    <hyperlink ref="C20" r:id="rId11" xr:uid="{35E0DB07-67DF-8849-9826-C944CBA1D93B}"/>
    <hyperlink ref="C30" r:id="rId12" xr:uid="{317A6123-3810-AB42-ADBD-DE117F2D694A}"/>
    <hyperlink ref="C31" r:id="rId13" xr:uid="{AECC13D3-2639-204A-8169-8DD0CF128747}"/>
    <hyperlink ref="C32" r:id="rId14" xr:uid="{EEB1E257-D408-7546-B333-F5CA7E101462}"/>
    <hyperlink ref="C23" r:id="rId15" xr:uid="{8CD622BE-F5ED-6549-A26D-CF52D276B088}"/>
    <hyperlink ref="C24" r:id="rId16" xr:uid="{321B4850-7017-7E4A-AF2E-2AA0CDA39A99}"/>
    <hyperlink ref="C25" r:id="rId17" xr:uid="{EC5957F0-A9CF-2F42-8B9D-1AE9EF7ECB44}"/>
    <hyperlink ref="C26" r:id="rId18" xr:uid="{6638ADC4-D7BD-A947-96CD-6D750E287286}"/>
    <hyperlink ref="C27" r:id="rId19" xr:uid="{9692EBDF-C645-DE4E-A416-1D7FF4295341}"/>
    <hyperlink ref="C28" r:id="rId20" xr:uid="{ECF09E69-9692-5543-8111-6218ED10B8B9}"/>
    <hyperlink ref="C29" r:id="rId21" xr:uid="{A2A2D63B-68B0-FC4D-8091-DE058427DB19}"/>
    <hyperlink ref="C4" r:id="rId22" xr:uid="{91882C5E-55B8-474E-A0FD-77264494F3FF}"/>
    <hyperlink ref="C5" r:id="rId23" xr:uid="{209FB9A1-002D-1F4C-82EF-E44D29BB86DC}"/>
    <hyperlink ref="C6" r:id="rId24" xr:uid="{AF147489-D183-F441-B63F-DC9DA092371D}"/>
    <hyperlink ref="C7" r:id="rId25" xr:uid="{F9582585-E52E-2044-AAB1-67784783AD2D}"/>
    <hyperlink ref="C8" r:id="rId26" xr:uid="{7F498E94-20C5-3441-AF3F-3C05E0524D44}"/>
    <hyperlink ref="C9" r:id="rId27" xr:uid="{78F15665-DDFC-424E-9DD4-6ACF61ED53B8}"/>
    <hyperlink ref="C10" r:id="rId28" xr:uid="{2168B288-2C28-DB41-8EC7-5CA66C351A78}"/>
    <hyperlink ref="C11" r:id="rId29" xr:uid="{8478EA7E-9D07-724E-BC0A-6CB79BADAF7F}"/>
    <hyperlink ref="C33" r:id="rId30" xr:uid="{31C93DFB-D398-894B-A038-9DD9C5A691AC}"/>
    <hyperlink ref="C34" r:id="rId31" xr:uid="{3636D5CD-9ED7-764E-A2CA-0D4AF216F638}"/>
    <hyperlink ref="C36" r:id="rId32" xr:uid="{08917A52-444E-E04F-AC12-2BCC7BF7578A}"/>
    <hyperlink ref="C35" r:id="rId33" xr:uid="{A932347E-1A16-D542-9BDA-D3E6761B7AF9}"/>
    <hyperlink ref="B2" location="ABGeneralCargo!A1" display="ABGeneralCargo" xr:uid="{DDD28936-FD9F-1448-B4C0-634B7DBF7D08}"/>
    <hyperlink ref="B3" location="ABPerishable!A1" display="ABPerishable" xr:uid="{363A139A-D0B2-E44C-9815-F3AF55E2FAA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7DA2-FEB7-B54D-86C6-DFEA37D68DD1}">
  <dimension ref="A1:AM7"/>
  <sheetViews>
    <sheetView zoomScale="96" zoomScaleNormal="96" workbookViewId="0">
      <selection activeCell="E1" sqref="E1"/>
    </sheetView>
  </sheetViews>
  <sheetFormatPr defaultColWidth="11" defaultRowHeight="15.5"/>
  <cols>
    <col min="1" max="1" width="102" bestFit="1" customWidth="1"/>
    <col min="2" max="2" width="16" bestFit="1" customWidth="1"/>
    <col min="3" max="3" width="23.33203125" bestFit="1" customWidth="1"/>
    <col min="4" max="4" width="9" bestFit="1" customWidth="1"/>
    <col min="5" max="5" width="14.58203125" bestFit="1" customWidth="1"/>
    <col min="6" max="6" width="23.83203125" bestFit="1" customWidth="1"/>
    <col min="7" max="7" width="13.33203125" bestFit="1" customWidth="1"/>
    <col min="8" max="8" width="14.83203125" bestFit="1" customWidth="1"/>
    <col min="9" max="9" width="18.83203125" bestFit="1" customWidth="1"/>
    <col min="10" max="10" width="14" bestFit="1" customWidth="1"/>
    <col min="11" max="11" width="18.5" bestFit="1" customWidth="1"/>
    <col min="12" max="12" width="15.58203125" bestFit="1" customWidth="1"/>
    <col min="13" max="13" width="18.33203125" bestFit="1" customWidth="1"/>
    <col min="14" max="14" width="15" bestFit="1" customWidth="1"/>
    <col min="15" max="15" width="19.5" bestFit="1" customWidth="1"/>
    <col min="16" max="16" width="16" bestFit="1" customWidth="1"/>
    <col min="17" max="17" width="14.5" bestFit="1" customWidth="1"/>
    <col min="18" max="18" width="14" bestFit="1" customWidth="1"/>
    <col min="19" max="19" width="14.33203125" bestFit="1" customWidth="1"/>
    <col min="20" max="20" width="12.5" bestFit="1" customWidth="1"/>
    <col min="21" max="21" width="19" bestFit="1" customWidth="1"/>
    <col min="22" max="22" width="25.33203125" bestFit="1" customWidth="1"/>
    <col min="23" max="23" width="37.08203125" bestFit="1" customWidth="1"/>
    <col min="24" max="24" width="21.58203125" bestFit="1" customWidth="1"/>
    <col min="25" max="25" width="20.08203125" bestFit="1" customWidth="1"/>
    <col min="26" max="26" width="28" bestFit="1" customWidth="1"/>
    <col min="27" max="27" width="12.83203125" bestFit="1" customWidth="1"/>
    <col min="28" max="28" width="32.33203125" bestFit="1" customWidth="1"/>
    <col min="29" max="29" width="22.08203125" bestFit="1" customWidth="1"/>
    <col min="30" max="30" width="24.08203125" bestFit="1" customWidth="1"/>
    <col min="31" max="31" width="29.08203125" customWidth="1"/>
    <col min="32" max="33" width="8.58203125" bestFit="1" customWidth="1"/>
    <col min="34" max="34" width="4.08203125" bestFit="1" customWidth="1"/>
    <col min="35" max="35" width="5.5" bestFit="1" customWidth="1"/>
    <col min="36" max="36" width="6.08203125" bestFit="1" customWidth="1"/>
    <col min="37" max="37" width="14.33203125" bestFit="1" customWidth="1"/>
    <col min="38" max="38" width="14.33203125" customWidth="1"/>
    <col min="39" max="39" width="21.08203125" customWidth="1"/>
  </cols>
  <sheetData>
    <row r="1" spans="1:39" s="11" customFormat="1" ht="16" thickBot="1">
      <c r="A1" s="19" t="s">
        <v>118</v>
      </c>
      <c r="B1" s="20" t="s">
        <v>2</v>
      </c>
      <c r="C1" s="20" t="s">
        <v>24</v>
      </c>
      <c r="D1" s="20" t="s">
        <v>110</v>
      </c>
      <c r="E1" s="20" t="s">
        <v>210</v>
      </c>
      <c r="F1" s="20" t="s">
        <v>122</v>
      </c>
      <c r="G1" s="20" t="s">
        <v>123</v>
      </c>
      <c r="H1" s="21" t="s">
        <v>101</v>
      </c>
      <c r="I1" s="20" t="s">
        <v>32</v>
      </c>
      <c r="J1" s="20" t="s">
        <v>140</v>
      </c>
      <c r="K1" s="20" t="s">
        <v>141</v>
      </c>
      <c r="L1" s="20" t="s">
        <v>211</v>
      </c>
      <c r="M1" s="27" t="s">
        <v>196</v>
      </c>
      <c r="N1" s="25" t="s">
        <v>146</v>
      </c>
      <c r="O1" s="20" t="s">
        <v>144</v>
      </c>
      <c r="P1" s="27" t="s">
        <v>150</v>
      </c>
      <c r="Q1" s="20" t="s">
        <v>147</v>
      </c>
      <c r="R1" s="20" t="s">
        <v>148</v>
      </c>
      <c r="S1" s="26" t="s">
        <v>149</v>
      </c>
      <c r="T1" s="20" t="s">
        <v>151</v>
      </c>
      <c r="U1" s="20" t="s">
        <v>5</v>
      </c>
      <c r="V1" s="20" t="s">
        <v>6</v>
      </c>
      <c r="W1" s="20" t="s">
        <v>7</v>
      </c>
      <c r="X1" s="20" t="s">
        <v>8</v>
      </c>
      <c r="Y1" s="20" t="s">
        <v>10</v>
      </c>
      <c r="Z1" s="20" t="s">
        <v>56</v>
      </c>
      <c r="AA1" s="20" t="s">
        <v>59</v>
      </c>
      <c r="AB1" s="20" t="s">
        <v>11</v>
      </c>
      <c r="AC1" s="20" t="s">
        <v>12</v>
      </c>
      <c r="AD1" s="20" t="s">
        <v>13</v>
      </c>
      <c r="AE1" s="20" t="s">
        <v>40</v>
      </c>
      <c r="AF1" s="20" t="s">
        <v>153</v>
      </c>
      <c r="AG1" s="20" t="s">
        <v>154</v>
      </c>
      <c r="AH1" s="20" t="s">
        <v>155</v>
      </c>
      <c r="AI1" s="20" t="s">
        <v>156</v>
      </c>
      <c r="AJ1" s="25" t="s">
        <v>157</v>
      </c>
      <c r="AK1" s="20" t="s">
        <v>102</v>
      </c>
      <c r="AL1" s="20" t="s">
        <v>207</v>
      </c>
      <c r="AM1" s="20" t="s">
        <v>73</v>
      </c>
    </row>
    <row r="2" spans="1:39" ht="17" thickBot="1">
      <c r="A2" s="63" t="s">
        <v>243</v>
      </c>
      <c r="B2" s="42" t="s">
        <v>237</v>
      </c>
      <c r="C2" s="32" t="s">
        <v>35</v>
      </c>
      <c r="D2" s="40" t="str">
        <f>IF(TestCaseConfig!$B$2="Yes","Yes","No")</f>
        <v>Yes</v>
      </c>
      <c r="E2" s="31" t="str" cm="1">
        <f t="array" ref="E2">_xlfn.XLOOKUP($A2,DataColumnRange,_xlfn.XLOOKUP(E$1,dataRowRange,ActualDataRange))</f>
        <v>STANDARD</v>
      </c>
      <c r="F2" s="31" t="str" cm="1">
        <f t="array" ref="F2">_xlfn.XLOOKUP($A2,DataColumnRange,_xlfn.XLOOKUP(F$1,dataRowRange,ActualDataRange))</f>
        <v>sumit.choudhary@delta.com</v>
      </c>
      <c r="G2" s="31" t="str" cm="1">
        <f t="array" ref="G2">_xlfn.XLOOKUP($A2,DataColumnRange,_xlfn.XLOOKUP(G$1,dataRowRange,ActualDataRange))</f>
        <v>Delta2</v>
      </c>
      <c r="H2" s="31" t="b" cm="1">
        <f t="array" ref="H2">_xlfn.XLOOKUP($A2,DataColumnRange,_xlfn.XLOOKUP(H$1,dataRowRange,ActualDataRange))</f>
        <v>1</v>
      </c>
      <c r="I2" s="31" t="str" cm="1">
        <f t="array" ref="I2">_xlfn.XLOOKUP($A2,DataColumnRange,_xlfn.XLOOKUP(I$1,dataRowRange,ActualDataRange))</f>
        <v>NA</v>
      </c>
      <c r="J2" s="31" t="str" cm="1">
        <f t="array" ref="J2">_xlfn.XLOOKUP($A2,DataColumnRange,_xlfn.XLOOKUP(J$1,dataRowRange,ActualDataRange))</f>
        <v>ATL</v>
      </c>
      <c r="K2" s="31" t="str" cm="1">
        <f t="array" ref="K2">_xlfn.XLOOKUP($A2,DataColumnRange,_xlfn.XLOOKUP(K$1,dataRowRange,ActualDataRange))</f>
        <v>MSP</v>
      </c>
      <c r="L2" s="31" t="str" cm="1">
        <f t="array" ref="L2">_xlfn.XLOOKUP($A2,DataColumnRange,_xlfn.XLOOKUP(L$1,dataRowRange,ActualDataRange))</f>
        <v>NA</v>
      </c>
      <c r="M2" s="31" t="str" cm="1">
        <f t="array" ref="M2">_xlfn.XLOOKUP($A2,DataColumnRange,_xlfn.XLOOKUP(M$1,dataRowRange,ActualDataRange))</f>
        <v>Test Parcel less</v>
      </c>
      <c r="N2" s="31" cm="1">
        <f t="array" ref="N2">_xlfn.XLOOKUP($A2,DataColumnRange,_xlfn.XLOOKUP(N$1,dataRowRange,ActualDataRange))</f>
        <v>10</v>
      </c>
      <c r="O2" s="31" t="str" cm="1">
        <f t="array" ref="O2">_xlfn.XLOOKUP($A2,DataColumnRange,_xlfn.XLOOKUP(O$1,dataRowRange,ActualDataRange))</f>
        <v>OZ</v>
      </c>
      <c r="P2" s="31" cm="1">
        <f t="array" ref="P2">_xlfn.XLOOKUP($A2,DataColumnRange,_xlfn.XLOOKUP(P$1,dataRowRange,ActualDataRange))</f>
        <v>1</v>
      </c>
      <c r="Q2" s="31" cm="1">
        <f t="array" ref="Q2">_xlfn.XLOOKUP($A2,DataColumnRange,_xlfn.XLOOKUP(Q$1,dataRowRange,ActualDataRange))</f>
        <v>10</v>
      </c>
      <c r="R2" s="31" cm="1">
        <f t="array" ref="R2">_xlfn.XLOOKUP($A2,DataColumnRange,_xlfn.XLOOKUP(R$1,dataRowRange,ActualDataRange))</f>
        <v>10</v>
      </c>
      <c r="S2" s="31" cm="1">
        <f t="array" ref="S2">_xlfn.XLOOKUP($A2,DataColumnRange,_xlfn.XLOOKUP(S$1,dataRowRange,ActualDataRange))</f>
        <v>10</v>
      </c>
      <c r="T2" s="31" t="str" cm="1">
        <f t="array" ref="T2">_xlfn.XLOOKUP($A2,DataColumnRange,_xlfn.XLOOKUP(T$1,dataRowRange,ActualDataRange))</f>
        <v>CM</v>
      </c>
      <c r="U2" s="31" t="str" cm="1">
        <f t="array" ref="U2">_xlfn.XLOOKUP($A2,DataColumnRange,_xlfn.XLOOKUP(U$1,dataRowRange,ActualDataRange))</f>
        <v>Cubic Feet</v>
      </c>
      <c r="V2" s="31" t="str" cm="1">
        <f t="array" ref="V2">_xlfn.XLOOKUP($A2,DataColumnRange,_xlfn.XLOOKUP(V$1,dataRowRange,ActualDataRange))</f>
        <v>No</v>
      </c>
      <c r="W2" s="31" t="str" cm="1">
        <f t="array" ref="W2">_xlfn.XLOOKUP($A2,DataColumnRange,_xlfn.XLOOKUP(W$1,dataRowRange,ActualDataRange))</f>
        <v>No</v>
      </c>
      <c r="X2" s="31" t="str" cm="1">
        <f t="array" ref="X2">_xlfn.XLOOKUP($A2,DataColumnRange,_xlfn.XLOOKUP(X$1,dataRowRange,ActualDataRange))</f>
        <v>No</v>
      </c>
      <c r="Y2" s="31" cm="1">
        <f t="array" ref="Y2">_xlfn.XLOOKUP($A2,DataColumnRange,_xlfn.XLOOKUP(Y$1,dataRowRange,ActualDataRange))</f>
        <v>2</v>
      </c>
      <c r="Z2" s="31" t="str" cm="1">
        <f t="array" ref="Z2">_xlfn.XLOOKUP($A2,DataColumnRange,_xlfn.XLOOKUP(Z$1,dataRowRange,ActualDataRange))</f>
        <v>No</v>
      </c>
      <c r="AA2" s="31" t="str" cm="1">
        <f t="array" ref="AA2">_xlfn.XLOOKUP($A2,DataColumnRange,_xlfn.XLOOKUP(AA$1,dataRowRange,ActualDataRange))</f>
        <v>NA</v>
      </c>
      <c r="AB2" s="31" t="str" cm="1">
        <f t="array" ref="AB2">_xlfn.XLOOKUP($A2,DataColumnRange,_xlfn.XLOOKUP(AB$1,dataRowRange,ActualDataRange))</f>
        <v>000260018</v>
      </c>
      <c r="AC2" s="31" t="str" cm="1">
        <f t="array" ref="AC2">_xlfn.XLOOKUP($A2,DataColumnRange,_xlfn.XLOOKUP(AC$1,dataRowRange,ActualDataRange))</f>
        <v>GeneralCargoTemplate</v>
      </c>
      <c r="AD2" s="31" t="str" cm="1">
        <f t="array" ref="AD2">_xlfn.XLOOKUP($A2,DataColumnRange,_xlfn.XLOOKUP(AD$1,dataRowRange,ActualDataRange))</f>
        <v>CreditCard</v>
      </c>
      <c r="AE2" s="31" t="str" cm="1">
        <f t="array" ref="AE2">_xlfn.XLOOKUP($A2,DataColumnRange,_xlfn.XLOOKUP(AE$1,dataRowRange,ActualDataRange))</f>
        <v>NA</v>
      </c>
      <c r="AF2" s="31" t="str" cm="1">
        <f t="array" ref="AF2">_xlfn.XLOOKUP($A2,DataColumnRange,_xlfn.XLOOKUP(AF$1,dataRowRange,ActualDataRange))</f>
        <v>Test1</v>
      </c>
      <c r="AG2" s="31" t="str" cm="1">
        <f t="array" ref="AG2">_xlfn.XLOOKUP($A2,DataColumnRange,_xlfn.XLOOKUP(AG$1,dataRowRange,ActualDataRange))</f>
        <v>Test2</v>
      </c>
      <c r="AH2" s="31" t="str" cm="1">
        <f t="array" ref="AH2">_xlfn.XLOOKUP($A2,DataColumnRange,_xlfn.XLOOKUP(AH$1,dataRowRange,ActualDataRange))</f>
        <v>Atlanta</v>
      </c>
      <c r="AI2" s="31" t="str" cm="1">
        <f t="array" ref="AI2">_xlfn.XLOOKUP($A2,DataColumnRange,_xlfn.XLOOKUP(AI$1,dataRowRange,ActualDataRange))</f>
        <v>Georgia</v>
      </c>
      <c r="AJ2" s="31" cm="1">
        <f t="array" ref="AJ2">_xlfn.XLOOKUP($A2,DataColumnRange,_xlfn.XLOOKUP(AJ$1,dataRowRange,ActualDataRange))</f>
        <v>55055</v>
      </c>
      <c r="AK2" s="31" t="str" cm="1">
        <f t="array" ref="AK2">_xlfn.XLOOKUP($A2,DataColumnRange,_xlfn.XLOOKUP(AK$1,dataRowRange,ActualDataRange))</f>
        <v>000075010</v>
      </c>
      <c r="AL2" s="31" t="str" cm="1">
        <f t="array" ref="AL2">_xlfn.XLOOKUP($A2,DataColumnRange,_xlfn.XLOOKUP(AL$1,dataRowRange,ActualDataRange))</f>
        <v>Domestic</v>
      </c>
      <c r="AM2" s="31" cm="1">
        <f t="array" ref="AM2">_xlfn.XLOOKUP($A2,DataColumnRange,_xlfn.XLOOKUP(AM$1,dataRowRange,ActualDataRange))</f>
        <v>0</v>
      </c>
    </row>
    <row r="3" spans="1:39" ht="17" thickBot="1">
      <c r="A3" s="63" t="s">
        <v>244</v>
      </c>
      <c r="B3" s="43" t="s">
        <v>237</v>
      </c>
      <c r="C3" s="32" t="s">
        <v>35</v>
      </c>
      <c r="D3" s="40" t="str">
        <f>IF(TestCaseConfig!$B$2="Yes","Yes","No")</f>
        <v>Yes</v>
      </c>
      <c r="E3" s="31" t="str" cm="1">
        <f t="array" ref="E3">_xlfn.XLOOKUP($A3,DataColumnRange,_xlfn.XLOOKUP(E$1,dataRowRange,ActualDataRange))</f>
        <v>DSH</v>
      </c>
      <c r="F3" s="31" t="str" cm="1">
        <f t="array" ref="F3">_xlfn.XLOOKUP($A3,DataColumnRange,_xlfn.XLOOKUP(F$1,dataRowRange,ActualDataRange))</f>
        <v>sumit.choudhary@delta.com</v>
      </c>
      <c r="G3" s="31" t="str" cm="1">
        <f t="array" ref="G3">_xlfn.XLOOKUP($A3,DataColumnRange,_xlfn.XLOOKUP(G$1,dataRowRange,ActualDataRange))</f>
        <v>Delta2</v>
      </c>
      <c r="H3" s="31" t="b" cm="1">
        <f t="array" ref="H3">_xlfn.XLOOKUP($A3,DataColumnRange,_xlfn.XLOOKUP(H$1,dataRowRange,ActualDataRange))</f>
        <v>1</v>
      </c>
      <c r="I3" s="31" t="str" cm="1">
        <f t="array" ref="I3">_xlfn.XLOOKUP($A3,DataColumnRange,_xlfn.XLOOKUP(I$1,dataRowRange,ActualDataRange))</f>
        <v>NA</v>
      </c>
      <c r="J3" s="31" t="str" cm="1">
        <f t="array" ref="J3">_xlfn.XLOOKUP($A3,DataColumnRange,_xlfn.XLOOKUP(J$1,dataRowRange,ActualDataRange))</f>
        <v>ATL</v>
      </c>
      <c r="K3" s="31" t="str" cm="1">
        <f t="array" ref="K3">_xlfn.XLOOKUP($A3,DataColumnRange,_xlfn.XLOOKUP(K$1,dataRowRange,ActualDataRange))</f>
        <v>MSP</v>
      </c>
      <c r="L3" s="31" t="str" cm="1">
        <f t="array" ref="L3">_xlfn.XLOOKUP($A3,DataColumnRange,_xlfn.XLOOKUP(L$1,dataRowRange,ActualDataRange))</f>
        <v>NA</v>
      </c>
      <c r="M3" s="31" t="str" cm="1">
        <f t="array" ref="M3">_xlfn.XLOOKUP($A3,DataColumnRange,_xlfn.XLOOKUP(M$1,dataRowRange,ActualDataRange))</f>
        <v>Test Parcel less</v>
      </c>
      <c r="N3" s="31" cm="1">
        <f t="array" ref="N3">_xlfn.XLOOKUP($A3,DataColumnRange,_xlfn.XLOOKUP(N$1,dataRowRange,ActualDataRange))</f>
        <v>20</v>
      </c>
      <c r="O3" s="31" t="str" cm="1">
        <f t="array" ref="O3">_xlfn.XLOOKUP($A3,DataColumnRange,_xlfn.XLOOKUP(O$1,dataRowRange,ActualDataRange))</f>
        <v>OZ</v>
      </c>
      <c r="P3" s="31" cm="1">
        <f t="array" ref="P3">_xlfn.XLOOKUP($A3,DataColumnRange,_xlfn.XLOOKUP(P$1,dataRowRange,ActualDataRange))</f>
        <v>2</v>
      </c>
      <c r="Q3" s="31" cm="1">
        <f t="array" ref="Q3">_xlfn.XLOOKUP($A3,DataColumnRange,_xlfn.XLOOKUP(Q$1,dataRowRange,ActualDataRange))</f>
        <v>10</v>
      </c>
      <c r="R3" s="31" cm="1">
        <f t="array" ref="R3">_xlfn.XLOOKUP($A3,DataColumnRange,_xlfn.XLOOKUP(R$1,dataRowRange,ActualDataRange))</f>
        <v>10</v>
      </c>
      <c r="S3" s="31" cm="1">
        <f t="array" ref="S3">_xlfn.XLOOKUP($A3,DataColumnRange,_xlfn.XLOOKUP(S$1,dataRowRange,ActualDataRange))</f>
        <v>10</v>
      </c>
      <c r="T3" s="31" t="str" cm="1">
        <f t="array" ref="T3">_xlfn.XLOOKUP($A3,DataColumnRange,_xlfn.XLOOKUP(T$1,dataRowRange,ActualDataRange))</f>
        <v>IN</v>
      </c>
      <c r="U3" s="31" t="str" cm="1">
        <f t="array" ref="U3">_xlfn.XLOOKUP($A3,DataColumnRange,_xlfn.XLOOKUP(U$1,dataRowRange,ActualDataRange))</f>
        <v>Cubic Feet</v>
      </c>
      <c r="V3" s="31" t="str" cm="1">
        <f t="array" ref="V3">_xlfn.XLOOKUP($A3,DataColumnRange,_xlfn.XLOOKUP(V$1,dataRowRange,ActualDataRange))</f>
        <v>Yes</v>
      </c>
      <c r="W3" s="31" t="str" cm="1">
        <f t="array" ref="W3">_xlfn.XLOOKUP($A3,DataColumnRange,_xlfn.XLOOKUP(W$1,dataRowRange,ActualDataRange))</f>
        <v>No</v>
      </c>
      <c r="X3" s="31" t="str" cm="1">
        <f t="array" ref="X3">_xlfn.XLOOKUP($A3,DataColumnRange,_xlfn.XLOOKUP(X$1,dataRowRange,ActualDataRange))</f>
        <v>Yes</v>
      </c>
      <c r="Y3" s="31" cm="1">
        <f t="array" ref="Y3">_xlfn.XLOOKUP($A3,DataColumnRange,_xlfn.XLOOKUP(Y$1,dataRowRange,ActualDataRange))</f>
        <v>2</v>
      </c>
      <c r="Z3" s="31" t="str" cm="1">
        <f t="array" ref="Z3">_xlfn.XLOOKUP($A3,DataColumnRange,_xlfn.XLOOKUP(Z$1,dataRowRange,ActualDataRange))</f>
        <v>No</v>
      </c>
      <c r="AA3" s="31" t="str" cm="1">
        <f t="array" ref="AA3">_xlfn.XLOOKUP($A3,DataColumnRange,_xlfn.XLOOKUP(AA$1,dataRowRange,ActualDataRange))</f>
        <v>NA</v>
      </c>
      <c r="AB3" s="31" t="str" cm="1">
        <f t="array" ref="AB3">_xlfn.XLOOKUP($A3,DataColumnRange,_xlfn.XLOOKUP(AB$1,dataRowRange,ActualDataRange))</f>
        <v>000260018</v>
      </c>
      <c r="AC3" s="31" t="str" cm="1">
        <f t="array" ref="AC3">_xlfn.XLOOKUP($A3,DataColumnRange,_xlfn.XLOOKUP(AC$1,dataRowRange,ActualDataRange))</f>
        <v>GeneralCargoTemplate</v>
      </c>
      <c r="AD3" s="31" t="str" cm="1">
        <f t="array" ref="AD3">_xlfn.XLOOKUP($A3,DataColumnRange,_xlfn.XLOOKUP(AD$1,dataRowRange,ActualDataRange))</f>
        <v>CreditCard</v>
      </c>
      <c r="AE3" s="31" t="str" cm="1">
        <f t="array" ref="AE3">_xlfn.XLOOKUP($A3,DataColumnRange,_xlfn.XLOOKUP(AE$1,dataRowRange,ActualDataRange))</f>
        <v>NA</v>
      </c>
      <c r="AF3" s="31" t="str" cm="1">
        <f t="array" ref="AF3">_xlfn.XLOOKUP($A3,DataColumnRange,_xlfn.XLOOKUP(AF$1,dataRowRange,ActualDataRange))</f>
        <v>Test1</v>
      </c>
      <c r="AG3" s="31" t="str" cm="1">
        <f t="array" ref="AG3">_xlfn.XLOOKUP($A3,DataColumnRange,_xlfn.XLOOKUP(AG$1,dataRowRange,ActualDataRange))</f>
        <v>Test2</v>
      </c>
      <c r="AH3" s="31" t="str" cm="1">
        <f t="array" ref="AH3">_xlfn.XLOOKUP($A3,DataColumnRange,_xlfn.XLOOKUP(AH$1,dataRowRange,ActualDataRange))</f>
        <v>Atlanta</v>
      </c>
      <c r="AI3" s="31" t="str" cm="1">
        <f t="array" ref="AI3">_xlfn.XLOOKUP($A3,DataColumnRange,_xlfn.XLOOKUP(AI$1,dataRowRange,ActualDataRange))</f>
        <v>Georgia</v>
      </c>
      <c r="AJ3" s="31" cm="1">
        <f t="array" ref="AJ3">_xlfn.XLOOKUP($A3,DataColumnRange,_xlfn.XLOOKUP(AJ$1,dataRowRange,ActualDataRange))</f>
        <v>55055</v>
      </c>
      <c r="AK3" s="31" t="str" cm="1">
        <f t="array" ref="AK3">_xlfn.XLOOKUP($A3,DataColumnRange,_xlfn.XLOOKUP(AK$1,dataRowRange,ActualDataRange))</f>
        <v>000075010</v>
      </c>
      <c r="AL3" s="31" t="str" cm="1">
        <f t="array" ref="AL3">_xlfn.XLOOKUP($A3,DataColumnRange,_xlfn.XLOOKUP(AL$1,dataRowRange,ActualDataRange))</f>
        <v>Domestic</v>
      </c>
      <c r="AM3" s="31" cm="1">
        <f t="array" ref="AM3">_xlfn.XLOOKUP($A3,DataColumnRange,_xlfn.XLOOKUP(AM$1,dataRowRange,ActualDataRange))</f>
        <v>0</v>
      </c>
    </row>
    <row r="4" spans="1:39" ht="17" thickBot="1">
      <c r="A4" s="63" t="s">
        <v>245</v>
      </c>
      <c r="B4" s="43" t="s">
        <v>237</v>
      </c>
      <c r="C4" s="32" t="s">
        <v>35</v>
      </c>
      <c r="D4" s="40" t="str">
        <f>IF(TestCaseConfig!$B$2="Yes","Yes","No")</f>
        <v>Yes</v>
      </c>
      <c r="E4" s="31" t="str" cm="1">
        <f t="array" ref="E4">_xlfn.XLOOKUP($A4,DataColumnRange,_xlfn.XLOOKUP(E$1,dataRowRange,ActualDataRange))</f>
        <v>DMD</v>
      </c>
      <c r="F4" s="31" t="str" cm="1">
        <f t="array" ref="F4">_xlfn.XLOOKUP($A4,DataColumnRange,_xlfn.XLOOKUP(F$1,dataRowRange,ActualDataRange))</f>
        <v>sumit.choudhary@delta.com</v>
      </c>
      <c r="G4" s="31" t="str" cm="1">
        <f t="array" ref="G4">_xlfn.XLOOKUP($A4,DataColumnRange,_xlfn.XLOOKUP(G$1,dataRowRange,ActualDataRange))</f>
        <v>Delta2</v>
      </c>
      <c r="H4" s="31" t="b" cm="1">
        <f t="array" ref="H4">_xlfn.XLOOKUP($A4,DataColumnRange,_xlfn.XLOOKUP(H$1,dataRowRange,ActualDataRange))</f>
        <v>1</v>
      </c>
      <c r="I4" s="31" t="str" cm="1">
        <f t="array" ref="I4">_xlfn.XLOOKUP($A4,DataColumnRange,_xlfn.XLOOKUP(I$1,dataRowRange,ActualDataRange))</f>
        <v>NA</v>
      </c>
      <c r="J4" s="31" t="str" cm="1">
        <f t="array" ref="J4">_xlfn.XLOOKUP($A4,DataColumnRange,_xlfn.XLOOKUP(J$1,dataRowRange,ActualDataRange))</f>
        <v>ATL</v>
      </c>
      <c r="K4" s="31" t="str" cm="1">
        <f t="array" ref="K4">_xlfn.XLOOKUP($A4,DataColumnRange,_xlfn.XLOOKUP(K$1,dataRowRange,ActualDataRange))</f>
        <v>JFK</v>
      </c>
      <c r="L4" s="31" t="str" cm="1">
        <f t="array" ref="L4">_xlfn.XLOOKUP($A4,DataColumnRange,_xlfn.XLOOKUP(L$1,dataRowRange,ActualDataRange))</f>
        <v>NA</v>
      </c>
      <c r="M4" s="31" t="str" cm="1">
        <f t="array" ref="M4">_xlfn.XLOOKUP($A4,DataColumnRange,_xlfn.XLOOKUP(M$1,dataRowRange,ActualDataRange))</f>
        <v>Test Parcel less</v>
      </c>
      <c r="N4" s="31" cm="1">
        <f t="array" ref="N4">_xlfn.XLOOKUP($A4,DataColumnRange,_xlfn.XLOOKUP(N$1,dataRowRange,ActualDataRange))</f>
        <v>40</v>
      </c>
      <c r="O4" s="31" t="str" cm="1">
        <f t="array" ref="O4">_xlfn.XLOOKUP($A4,DataColumnRange,_xlfn.XLOOKUP(O$1,dataRowRange,ActualDataRange))</f>
        <v>OZ</v>
      </c>
      <c r="P4" s="31" cm="1">
        <f t="array" ref="P4">_xlfn.XLOOKUP($A4,DataColumnRange,_xlfn.XLOOKUP(P$1,dataRowRange,ActualDataRange))</f>
        <v>4</v>
      </c>
      <c r="Q4" s="31" cm="1">
        <f t="array" ref="Q4">_xlfn.XLOOKUP($A4,DataColumnRange,_xlfn.XLOOKUP(Q$1,dataRowRange,ActualDataRange))</f>
        <v>10</v>
      </c>
      <c r="R4" s="31" cm="1">
        <f t="array" ref="R4">_xlfn.XLOOKUP($A4,DataColumnRange,_xlfn.XLOOKUP(R$1,dataRowRange,ActualDataRange))</f>
        <v>10</v>
      </c>
      <c r="S4" s="31" cm="1">
        <f t="array" ref="S4">_xlfn.XLOOKUP($A4,DataColumnRange,_xlfn.XLOOKUP(S$1,dataRowRange,ActualDataRange))</f>
        <v>10</v>
      </c>
      <c r="T4" s="31" t="str" cm="1">
        <f t="array" ref="T4">_xlfn.XLOOKUP($A4,DataColumnRange,_xlfn.XLOOKUP(T$1,dataRowRange,ActualDataRange))</f>
        <v>CM</v>
      </c>
      <c r="U4" s="31" t="str" cm="1">
        <f t="array" ref="U4">_xlfn.XLOOKUP($A4,DataColumnRange,_xlfn.XLOOKUP(U$1,dataRowRange,ActualDataRange))</f>
        <v>Cubic Feet</v>
      </c>
      <c r="V4" s="31" t="str" cm="1">
        <f t="array" ref="V4">_xlfn.XLOOKUP($A4,DataColumnRange,_xlfn.XLOOKUP(V$1,dataRowRange,ActualDataRange))</f>
        <v>No</v>
      </c>
      <c r="W4" s="31" t="str" cm="1">
        <f t="array" ref="W4">_xlfn.XLOOKUP($A4,DataColumnRange,_xlfn.XLOOKUP(W$1,dataRowRange,ActualDataRange))</f>
        <v>No</v>
      </c>
      <c r="X4" s="31" t="str" cm="1">
        <f t="array" ref="X4">_xlfn.XLOOKUP($A4,DataColumnRange,_xlfn.XLOOKUP(X$1,dataRowRange,ActualDataRange))</f>
        <v>No</v>
      </c>
      <c r="Y4" s="31" cm="1">
        <f t="array" ref="Y4">_xlfn.XLOOKUP($A4,DataColumnRange,_xlfn.XLOOKUP(Y$1,dataRowRange,ActualDataRange))</f>
        <v>2</v>
      </c>
      <c r="Z4" s="31" t="str" cm="1">
        <f t="array" ref="Z4">_xlfn.XLOOKUP($A4,DataColumnRange,_xlfn.XLOOKUP(Z$1,dataRowRange,ActualDataRange))</f>
        <v>No</v>
      </c>
      <c r="AA4" s="31" t="str" cm="1">
        <f t="array" ref="AA4">_xlfn.XLOOKUP($A4,DataColumnRange,_xlfn.XLOOKUP(AA$1,dataRowRange,ActualDataRange))</f>
        <v>NA</v>
      </c>
      <c r="AB4" s="31" t="str" cm="1">
        <f t="array" ref="AB4">_xlfn.XLOOKUP($A4,DataColumnRange,_xlfn.XLOOKUP(AB$1,dataRowRange,ActualDataRange))</f>
        <v>000260018</v>
      </c>
      <c r="AC4" s="31" t="str" cm="1">
        <f t="array" ref="AC4">_xlfn.XLOOKUP($A4,DataColumnRange,_xlfn.XLOOKUP(AC$1,dataRowRange,ActualDataRange))</f>
        <v>GeneralCargoTemplate</v>
      </c>
      <c r="AD4" s="31" t="str" cm="1">
        <f t="array" ref="AD4">_xlfn.XLOOKUP($A4,DataColumnRange,_xlfn.XLOOKUP(AD$1,dataRowRange,ActualDataRange))</f>
        <v>CreditCard</v>
      </c>
      <c r="AE4" s="31" t="str" cm="1">
        <f t="array" ref="AE4">_xlfn.XLOOKUP($A4,DataColumnRange,_xlfn.XLOOKUP(AE$1,dataRowRange,ActualDataRange))</f>
        <v>NA</v>
      </c>
      <c r="AF4" s="31" t="str" cm="1">
        <f t="array" ref="AF4">_xlfn.XLOOKUP($A4,DataColumnRange,_xlfn.XLOOKUP(AF$1,dataRowRange,ActualDataRange))</f>
        <v>Test1</v>
      </c>
      <c r="AG4" s="31" t="str" cm="1">
        <f t="array" ref="AG4">_xlfn.XLOOKUP($A4,DataColumnRange,_xlfn.XLOOKUP(AG$1,dataRowRange,ActualDataRange))</f>
        <v>Test2</v>
      </c>
      <c r="AH4" s="31" t="str" cm="1">
        <f t="array" ref="AH4">_xlfn.XLOOKUP($A4,DataColumnRange,_xlfn.XLOOKUP(AH$1,dataRowRange,ActualDataRange))</f>
        <v>Atlanta</v>
      </c>
      <c r="AI4" s="31" t="str" cm="1">
        <f t="array" ref="AI4">_xlfn.XLOOKUP($A4,DataColumnRange,_xlfn.XLOOKUP(AI$1,dataRowRange,ActualDataRange))</f>
        <v>Georgia</v>
      </c>
      <c r="AJ4" s="31" cm="1">
        <f t="array" ref="AJ4">_xlfn.XLOOKUP($A4,DataColumnRange,_xlfn.XLOOKUP(AJ$1,dataRowRange,ActualDataRange))</f>
        <v>55055</v>
      </c>
      <c r="AK4" s="31" t="str" cm="1">
        <f t="array" ref="AK4">_xlfn.XLOOKUP($A4,DataColumnRange,_xlfn.XLOOKUP(AK$1,dataRowRange,ActualDataRange))</f>
        <v>000075010</v>
      </c>
      <c r="AL4" s="31" t="str" cm="1">
        <f t="array" ref="AL4">_xlfn.XLOOKUP($A4,DataColumnRange,_xlfn.XLOOKUP(AL$1,dataRowRange,ActualDataRange))</f>
        <v>Domestic</v>
      </c>
      <c r="AM4" s="31" cm="1">
        <f t="array" ref="AM4">_xlfn.XLOOKUP($A4,DataColumnRange,_xlfn.XLOOKUP(AM$1,dataRowRange,ActualDataRange))</f>
        <v>0</v>
      </c>
    </row>
    <row r="5" spans="1:39" ht="17" thickBot="1">
      <c r="A5" s="63" t="s">
        <v>246</v>
      </c>
      <c r="B5" s="43" t="s">
        <v>237</v>
      </c>
      <c r="C5" s="32" t="s">
        <v>35</v>
      </c>
      <c r="D5" s="40" t="str">
        <f>IF(TestCaseConfig!$B$2="Yes","Yes","No")</f>
        <v>Yes</v>
      </c>
      <c r="E5" s="31" t="str" cm="1">
        <f t="array" ref="E5">_xlfn.XLOOKUP($A5,DataColumnRange,_xlfn.XLOOKUP(E$1,dataRowRange,ActualDataRange))</f>
        <v>GENERAL</v>
      </c>
      <c r="F5" s="31" t="str" cm="1">
        <f t="array" ref="F5">_xlfn.XLOOKUP($A5,DataColumnRange,_xlfn.XLOOKUP(F$1,dataRowRange,ActualDataRange))</f>
        <v>sumit.choudhary@delta.com</v>
      </c>
      <c r="G5" s="31" t="str" cm="1">
        <f t="array" ref="G5">_xlfn.XLOOKUP($A5,DataColumnRange,_xlfn.XLOOKUP(G$1,dataRowRange,ActualDataRange))</f>
        <v>Delta2</v>
      </c>
      <c r="H5" s="31" t="b" cm="1">
        <f t="array" ref="H5">_xlfn.XLOOKUP($A5,DataColumnRange,_xlfn.XLOOKUP(H$1,dataRowRange,ActualDataRange))</f>
        <v>1</v>
      </c>
      <c r="I5" s="31" t="str" cm="1">
        <f t="array" ref="I5">_xlfn.XLOOKUP($A5,DataColumnRange,_xlfn.XLOOKUP(I$1,dataRowRange,ActualDataRange))</f>
        <v>NA</v>
      </c>
      <c r="J5" s="31" t="str" cm="1">
        <f t="array" ref="J5">_xlfn.XLOOKUP($A5,DataColumnRange,_xlfn.XLOOKUP(J$1,dataRowRange,ActualDataRange))</f>
        <v>ATL</v>
      </c>
      <c r="K5" s="31" t="str" cm="1">
        <f t="array" ref="K5">_xlfn.XLOOKUP($A5,DataColumnRange,_xlfn.XLOOKUP(K$1,dataRowRange,ActualDataRange))</f>
        <v>MSP</v>
      </c>
      <c r="L5" s="31" t="str" cm="1">
        <f t="array" ref="L5">_xlfn.XLOOKUP($A5,DataColumnRange,_xlfn.XLOOKUP(L$1,dataRowRange,ActualDataRange))</f>
        <v>NA</v>
      </c>
      <c r="M5" s="31" t="str" cm="1">
        <f t="array" ref="M5">_xlfn.XLOOKUP($A5,DataColumnRange,_xlfn.XLOOKUP(M$1,dataRowRange,ActualDataRange))</f>
        <v>Test Parcel less</v>
      </c>
      <c r="N5" s="31" cm="1">
        <f t="array" ref="N5">_xlfn.XLOOKUP($A5,DataColumnRange,_xlfn.XLOOKUP(N$1,dataRowRange,ActualDataRange))</f>
        <v>10</v>
      </c>
      <c r="O5" s="31" t="str" cm="1">
        <f t="array" ref="O5">_xlfn.XLOOKUP($A5,DataColumnRange,_xlfn.XLOOKUP(O$1,dataRowRange,ActualDataRange))</f>
        <v>OZ</v>
      </c>
      <c r="P5" s="31" cm="1">
        <f t="array" ref="P5">_xlfn.XLOOKUP($A5,DataColumnRange,_xlfn.XLOOKUP(P$1,dataRowRange,ActualDataRange))</f>
        <v>1</v>
      </c>
      <c r="Q5" s="31" cm="1">
        <f t="array" ref="Q5">_xlfn.XLOOKUP($A5,DataColumnRange,_xlfn.XLOOKUP(Q$1,dataRowRange,ActualDataRange))</f>
        <v>10</v>
      </c>
      <c r="R5" s="31" cm="1">
        <f t="array" ref="R5">_xlfn.XLOOKUP($A5,DataColumnRange,_xlfn.XLOOKUP(R$1,dataRowRange,ActualDataRange))</f>
        <v>10</v>
      </c>
      <c r="S5" s="31" cm="1">
        <f t="array" ref="S5">_xlfn.XLOOKUP($A5,DataColumnRange,_xlfn.XLOOKUP(S$1,dataRowRange,ActualDataRange))</f>
        <v>10</v>
      </c>
      <c r="T5" s="31" t="str" cm="1">
        <f t="array" ref="T5">_xlfn.XLOOKUP($A5,DataColumnRange,_xlfn.XLOOKUP(T$1,dataRowRange,ActualDataRange))</f>
        <v>IN</v>
      </c>
      <c r="U5" s="31" t="str" cm="1">
        <f t="array" ref="U5">_xlfn.XLOOKUP($A5,DataColumnRange,_xlfn.XLOOKUP(U$1,dataRowRange,ActualDataRange))</f>
        <v>Cubic Feet</v>
      </c>
      <c r="V5" s="31" t="str" cm="1">
        <f t="array" ref="V5">_xlfn.XLOOKUP($A5,DataColumnRange,_xlfn.XLOOKUP(V$1,dataRowRange,ActualDataRange))</f>
        <v>Yes</v>
      </c>
      <c r="W5" s="31" t="str" cm="1">
        <f t="array" ref="W5">_xlfn.XLOOKUP($A5,DataColumnRange,_xlfn.XLOOKUP(W$1,dataRowRange,ActualDataRange))</f>
        <v>No</v>
      </c>
      <c r="X5" s="31" t="str" cm="1">
        <f t="array" ref="X5">_xlfn.XLOOKUP($A5,DataColumnRange,_xlfn.XLOOKUP(X$1,dataRowRange,ActualDataRange))</f>
        <v>Yes</v>
      </c>
      <c r="Y5" s="31" cm="1">
        <f t="array" ref="Y5">_xlfn.XLOOKUP($A5,DataColumnRange,_xlfn.XLOOKUP(Y$1,dataRowRange,ActualDataRange))</f>
        <v>2</v>
      </c>
      <c r="Z5" s="31" t="str" cm="1">
        <f t="array" ref="Z5">_xlfn.XLOOKUP($A5,DataColumnRange,_xlfn.XLOOKUP(Z$1,dataRowRange,ActualDataRange))</f>
        <v>No</v>
      </c>
      <c r="AA5" s="31" t="str" cm="1">
        <f t="array" ref="AA5">_xlfn.XLOOKUP($A5,DataColumnRange,_xlfn.XLOOKUP(AA$1,dataRowRange,ActualDataRange))</f>
        <v>NA</v>
      </c>
      <c r="AB5" s="31" t="str" cm="1">
        <f t="array" ref="AB5">_xlfn.XLOOKUP($A5,DataColumnRange,_xlfn.XLOOKUP(AB$1,dataRowRange,ActualDataRange))</f>
        <v>000260018</v>
      </c>
      <c r="AC5" s="31" t="str" cm="1">
        <f t="array" ref="AC5">_xlfn.XLOOKUP($A5,DataColumnRange,_xlfn.XLOOKUP(AC$1,dataRowRange,ActualDataRange))</f>
        <v>GeneralCargoTemplate</v>
      </c>
      <c r="AD5" s="31" t="str" cm="1">
        <f t="array" ref="AD5">_xlfn.XLOOKUP($A5,DataColumnRange,_xlfn.XLOOKUP(AD$1,dataRowRange,ActualDataRange))</f>
        <v>CreditCard</v>
      </c>
      <c r="AE5" s="31" t="str" cm="1">
        <f t="array" ref="AE5">_xlfn.XLOOKUP($A5,DataColumnRange,_xlfn.XLOOKUP(AE$1,dataRowRange,ActualDataRange))</f>
        <v>NA</v>
      </c>
      <c r="AF5" s="31" t="str" cm="1">
        <f t="array" ref="AF5">_xlfn.XLOOKUP($A5,DataColumnRange,_xlfn.XLOOKUP(AF$1,dataRowRange,ActualDataRange))</f>
        <v>Test1</v>
      </c>
      <c r="AG5" s="31" t="str" cm="1">
        <f t="array" ref="AG5">_xlfn.XLOOKUP($A5,DataColumnRange,_xlfn.XLOOKUP(AG$1,dataRowRange,ActualDataRange))</f>
        <v>Test2</v>
      </c>
      <c r="AH5" s="31" t="str" cm="1">
        <f t="array" ref="AH5">_xlfn.XLOOKUP($A5,DataColumnRange,_xlfn.XLOOKUP(AH$1,dataRowRange,ActualDataRange))</f>
        <v>Atlanta</v>
      </c>
      <c r="AI5" s="31" t="str" cm="1">
        <f t="array" ref="AI5">_xlfn.XLOOKUP($A5,DataColumnRange,_xlfn.XLOOKUP(AI$1,dataRowRange,ActualDataRange))</f>
        <v>Georgia</v>
      </c>
      <c r="AJ5" s="31" cm="1">
        <f t="array" ref="AJ5">_xlfn.XLOOKUP($A5,DataColumnRange,_xlfn.XLOOKUP(AJ$1,dataRowRange,ActualDataRange))</f>
        <v>55055</v>
      </c>
      <c r="AK5" s="31" t="str" cm="1">
        <f t="array" ref="AK5">_xlfn.XLOOKUP($A5,DataColumnRange,_xlfn.XLOOKUP(AK$1,dataRowRange,ActualDataRange))</f>
        <v>171276181</v>
      </c>
      <c r="AL5" s="31" t="str" cm="1">
        <f t="array" ref="AL5">_xlfn.XLOOKUP($A5,DataColumnRange,_xlfn.XLOOKUP(AL$1,dataRowRange,ActualDataRange))</f>
        <v>International</v>
      </c>
      <c r="AM5" s="31" cm="1">
        <f t="array" ref="AM5">_xlfn.XLOOKUP($A5,DataColumnRange,_xlfn.XLOOKUP(AM$1,dataRowRange,ActualDataRange))</f>
        <v>0</v>
      </c>
    </row>
    <row r="6" spans="1:39" ht="17" thickBot="1">
      <c r="A6" s="63" t="s">
        <v>247</v>
      </c>
      <c r="B6" s="43" t="s">
        <v>237</v>
      </c>
      <c r="C6" s="32" t="s">
        <v>35</v>
      </c>
      <c r="D6" s="40" t="str">
        <f>IF(TestCaseConfig!$B$2="Yes","Yes","No")</f>
        <v>Yes</v>
      </c>
      <c r="E6" s="31" t="str" cm="1">
        <f t="array" ref="E6">_xlfn.XLOOKUP($A6,DataColumnRange,_xlfn.XLOOKUP(E$1,dataRowRange,ActualDataRange))</f>
        <v>EXPRESS</v>
      </c>
      <c r="F6" s="31" t="str" cm="1">
        <f t="array" ref="F6">_xlfn.XLOOKUP($A6,DataColumnRange,_xlfn.XLOOKUP(F$1,dataRowRange,ActualDataRange))</f>
        <v>sumit.choudhary@delta.com</v>
      </c>
      <c r="G6" s="31" t="str" cm="1">
        <f t="array" ref="G6">_xlfn.XLOOKUP($A6,DataColumnRange,_xlfn.XLOOKUP(G$1,dataRowRange,ActualDataRange))</f>
        <v>Delta2</v>
      </c>
      <c r="H6" s="31" t="b" cm="1">
        <f t="array" ref="H6">_xlfn.XLOOKUP($A6,DataColumnRange,_xlfn.XLOOKUP(H$1,dataRowRange,ActualDataRange))</f>
        <v>1</v>
      </c>
      <c r="I6" s="31" t="str" cm="1">
        <f t="array" ref="I6">_xlfn.XLOOKUP($A6,DataColumnRange,_xlfn.XLOOKUP(I$1,dataRowRange,ActualDataRange))</f>
        <v>NA</v>
      </c>
      <c r="J6" s="31" t="str" cm="1">
        <f t="array" ref="J6">_xlfn.XLOOKUP($A6,DataColumnRange,_xlfn.XLOOKUP(J$1,dataRowRange,ActualDataRange))</f>
        <v>ATL</v>
      </c>
      <c r="K6" s="31" t="str" cm="1">
        <f t="array" ref="K6">_xlfn.XLOOKUP($A6,DataColumnRange,_xlfn.XLOOKUP(K$1,dataRowRange,ActualDataRange))</f>
        <v>LHR</v>
      </c>
      <c r="L6" s="31" t="str" cm="1">
        <f t="array" ref="L6">_xlfn.XLOOKUP($A6,DataColumnRange,_xlfn.XLOOKUP(L$1,dataRowRange,ActualDataRange))</f>
        <v>NA</v>
      </c>
      <c r="M6" s="31" t="str" cm="1">
        <f t="array" ref="M6">_xlfn.XLOOKUP($A6,DataColumnRange,_xlfn.XLOOKUP(M$1,dataRowRange,ActualDataRange))</f>
        <v>Test Parcel less</v>
      </c>
      <c r="N6" s="31" cm="1">
        <f t="array" ref="N6">_xlfn.XLOOKUP($A6,DataColumnRange,_xlfn.XLOOKUP(N$1,dataRowRange,ActualDataRange))</f>
        <v>40</v>
      </c>
      <c r="O6" s="31" t="str" cm="1">
        <f t="array" ref="O6">_xlfn.XLOOKUP($A6,DataColumnRange,_xlfn.XLOOKUP(O$1,dataRowRange,ActualDataRange))</f>
        <v>OZ</v>
      </c>
      <c r="P6" s="31" cm="1">
        <f t="array" ref="P6">_xlfn.XLOOKUP($A6,DataColumnRange,_xlfn.XLOOKUP(P$1,dataRowRange,ActualDataRange))</f>
        <v>3</v>
      </c>
      <c r="Q6" s="31" cm="1">
        <f t="array" ref="Q6">_xlfn.XLOOKUP($A6,DataColumnRange,_xlfn.XLOOKUP(Q$1,dataRowRange,ActualDataRange))</f>
        <v>10</v>
      </c>
      <c r="R6" s="31" cm="1">
        <f t="array" ref="R6">_xlfn.XLOOKUP($A6,DataColumnRange,_xlfn.XLOOKUP(R$1,dataRowRange,ActualDataRange))</f>
        <v>10</v>
      </c>
      <c r="S6" s="31" cm="1">
        <f t="array" ref="S6">_xlfn.XLOOKUP($A6,DataColumnRange,_xlfn.XLOOKUP(S$1,dataRowRange,ActualDataRange))</f>
        <v>10</v>
      </c>
      <c r="T6" s="31" t="str" cm="1">
        <f t="array" ref="T6">_xlfn.XLOOKUP($A6,DataColumnRange,_xlfn.XLOOKUP(T$1,dataRowRange,ActualDataRange))</f>
        <v>CM</v>
      </c>
      <c r="U6" s="31" t="str" cm="1">
        <f t="array" ref="U6">_xlfn.XLOOKUP($A6,DataColumnRange,_xlfn.XLOOKUP(U$1,dataRowRange,ActualDataRange))</f>
        <v>Cubic Feet</v>
      </c>
      <c r="V6" s="31" t="str" cm="1">
        <f t="array" ref="V6">_xlfn.XLOOKUP($A6,DataColumnRange,_xlfn.XLOOKUP(V$1,dataRowRange,ActualDataRange))</f>
        <v>No</v>
      </c>
      <c r="W6" s="31" t="str" cm="1">
        <f t="array" ref="W6">_xlfn.XLOOKUP($A6,DataColumnRange,_xlfn.XLOOKUP(W$1,dataRowRange,ActualDataRange))</f>
        <v>No</v>
      </c>
      <c r="X6" s="31" t="str" cm="1">
        <f t="array" ref="X6">_xlfn.XLOOKUP($A6,DataColumnRange,_xlfn.XLOOKUP(X$1,dataRowRange,ActualDataRange))</f>
        <v>No</v>
      </c>
      <c r="Y6" s="31" cm="1">
        <f t="array" ref="Y6">_xlfn.XLOOKUP($A6,DataColumnRange,_xlfn.XLOOKUP(Y$1,dataRowRange,ActualDataRange))</f>
        <v>2</v>
      </c>
      <c r="Z6" s="31" t="str" cm="1">
        <f t="array" ref="Z6">_xlfn.XLOOKUP($A6,DataColumnRange,_xlfn.XLOOKUP(Z$1,dataRowRange,ActualDataRange))</f>
        <v>No</v>
      </c>
      <c r="AA6" s="31" t="str" cm="1">
        <f t="array" ref="AA6">_xlfn.XLOOKUP($A6,DataColumnRange,_xlfn.XLOOKUP(AA$1,dataRowRange,ActualDataRange))</f>
        <v>NA</v>
      </c>
      <c r="AB6" s="31" t="str" cm="1">
        <f t="array" ref="AB6">_xlfn.XLOOKUP($A6,DataColumnRange,_xlfn.XLOOKUP(AB$1,dataRowRange,ActualDataRange))</f>
        <v>000260018</v>
      </c>
      <c r="AC6" s="31" t="str" cm="1">
        <f t="array" ref="AC6">_xlfn.XLOOKUP($A6,DataColumnRange,_xlfn.XLOOKUP(AC$1,dataRowRange,ActualDataRange))</f>
        <v>GeneralCargoTemplate</v>
      </c>
      <c r="AD6" s="31" t="str" cm="1">
        <f t="array" ref="AD6">_xlfn.XLOOKUP($A6,DataColumnRange,_xlfn.XLOOKUP(AD$1,dataRowRange,ActualDataRange))</f>
        <v>CreditCard</v>
      </c>
      <c r="AE6" s="31" t="str" cm="1">
        <f t="array" ref="AE6">_xlfn.XLOOKUP($A6,DataColumnRange,_xlfn.XLOOKUP(AE$1,dataRowRange,ActualDataRange))</f>
        <v>NA</v>
      </c>
      <c r="AF6" s="31" t="str" cm="1">
        <f t="array" ref="AF6">_xlfn.XLOOKUP($A6,DataColumnRange,_xlfn.XLOOKUP(AF$1,dataRowRange,ActualDataRange))</f>
        <v>Test1</v>
      </c>
      <c r="AG6" s="31" t="str" cm="1">
        <f t="array" ref="AG6">_xlfn.XLOOKUP($A6,DataColumnRange,_xlfn.XLOOKUP(AG$1,dataRowRange,ActualDataRange))</f>
        <v>Test2</v>
      </c>
      <c r="AH6" s="31" t="str" cm="1">
        <f t="array" ref="AH6">_xlfn.XLOOKUP($A6,DataColumnRange,_xlfn.XLOOKUP(AH$1,dataRowRange,ActualDataRange))</f>
        <v>Atlanta</v>
      </c>
      <c r="AI6" s="31" t="str" cm="1">
        <f t="array" ref="AI6">_xlfn.XLOOKUP($A6,DataColumnRange,_xlfn.XLOOKUP(AI$1,dataRowRange,ActualDataRange))</f>
        <v>Georgia</v>
      </c>
      <c r="AJ6" s="31" cm="1">
        <f t="array" ref="AJ6">_xlfn.XLOOKUP($A6,DataColumnRange,_xlfn.XLOOKUP(AJ$1,dataRowRange,ActualDataRange))</f>
        <v>55055</v>
      </c>
      <c r="AK6" s="31" t="str" cm="1">
        <f t="array" ref="AK6">_xlfn.XLOOKUP($A6,DataColumnRange,_xlfn.XLOOKUP(AK$1,dataRowRange,ActualDataRange))</f>
        <v>171276181</v>
      </c>
      <c r="AL6" s="31" t="str" cm="1">
        <f t="array" ref="AL6">_xlfn.XLOOKUP($A6,DataColumnRange,_xlfn.XLOOKUP(AL$1,dataRowRange,ActualDataRange))</f>
        <v>International</v>
      </c>
      <c r="AM6" s="31" cm="1">
        <f t="array" ref="AM6">_xlfn.XLOOKUP($A6,DataColumnRange,_xlfn.XLOOKUP(AM$1,dataRowRange,ActualDataRange))</f>
        <v>0</v>
      </c>
    </row>
    <row r="7" spans="1:39" ht="17" thickBot="1">
      <c r="A7" s="63" t="s">
        <v>248</v>
      </c>
      <c r="B7" s="43" t="s">
        <v>237</v>
      </c>
      <c r="C7" s="32" t="s">
        <v>35</v>
      </c>
      <c r="D7" s="40" t="str">
        <f>IF(TestCaseConfig!$B$2="Yes","Yes","No")</f>
        <v>Yes</v>
      </c>
      <c r="E7" s="31" t="str" cm="1">
        <f t="array" ref="E7">_xlfn.XLOOKUP($A7,DataColumnRange,_xlfn.XLOOKUP(E$1,dataRowRange,ActualDataRange))</f>
        <v>CRITICAL</v>
      </c>
      <c r="F7" s="31" t="str" cm="1">
        <f t="array" ref="F7">_xlfn.XLOOKUP($A7,DataColumnRange,_xlfn.XLOOKUP(F$1,dataRowRange,ActualDataRange))</f>
        <v>sumit.choudhary@delta.com</v>
      </c>
      <c r="G7" s="31" t="str" cm="1">
        <f t="array" ref="G7">_xlfn.XLOOKUP($A7,DataColumnRange,_xlfn.XLOOKUP(G$1,dataRowRange,ActualDataRange))</f>
        <v>Delta2</v>
      </c>
      <c r="H7" s="31" t="b" cm="1">
        <f t="array" ref="H7">_xlfn.XLOOKUP($A7,DataColumnRange,_xlfn.XLOOKUP(H$1,dataRowRange,ActualDataRange))</f>
        <v>1</v>
      </c>
      <c r="I7" s="31" t="str" cm="1">
        <f t="array" ref="I7">_xlfn.XLOOKUP($A7,DataColumnRange,_xlfn.XLOOKUP(I$1,dataRowRange,ActualDataRange))</f>
        <v>NA</v>
      </c>
      <c r="J7" s="31" t="str" cm="1">
        <f t="array" ref="J7">_xlfn.XLOOKUP($A7,DataColumnRange,_xlfn.XLOOKUP(J$1,dataRowRange,ActualDataRange))</f>
        <v>ATL</v>
      </c>
      <c r="K7" s="31" t="str" cm="1">
        <f t="array" ref="K7">_xlfn.XLOOKUP($A7,DataColumnRange,_xlfn.XLOOKUP(K$1,dataRowRange,ActualDataRange))</f>
        <v>LHR</v>
      </c>
      <c r="L7" s="31" t="str" cm="1">
        <f t="array" ref="L7">_xlfn.XLOOKUP($A7,DataColumnRange,_xlfn.XLOOKUP(L$1,dataRowRange,ActualDataRange))</f>
        <v>NA</v>
      </c>
      <c r="M7" s="31" t="str" cm="1">
        <f t="array" ref="M7">_xlfn.XLOOKUP($A7,DataColumnRange,_xlfn.XLOOKUP(M$1,dataRowRange,ActualDataRange))</f>
        <v>Test Parcel less</v>
      </c>
      <c r="N7" s="31" cm="1">
        <f t="array" ref="N7">_xlfn.XLOOKUP($A7,DataColumnRange,_xlfn.XLOOKUP(N$1,dataRowRange,ActualDataRange))</f>
        <v>90</v>
      </c>
      <c r="O7" s="31" t="str" cm="1">
        <f t="array" ref="O7">_xlfn.XLOOKUP($A7,DataColumnRange,_xlfn.XLOOKUP(O$1,dataRowRange,ActualDataRange))</f>
        <v>OZ</v>
      </c>
      <c r="P7" s="31" cm="1">
        <f t="array" ref="P7">_xlfn.XLOOKUP($A7,DataColumnRange,_xlfn.XLOOKUP(P$1,dataRowRange,ActualDataRange))</f>
        <v>4</v>
      </c>
      <c r="Q7" s="31" cm="1">
        <f t="array" ref="Q7">_xlfn.XLOOKUP($A7,DataColumnRange,_xlfn.XLOOKUP(Q$1,dataRowRange,ActualDataRange))</f>
        <v>10</v>
      </c>
      <c r="R7" s="31" cm="1">
        <f t="array" ref="R7">_xlfn.XLOOKUP($A7,DataColumnRange,_xlfn.XLOOKUP(R$1,dataRowRange,ActualDataRange))</f>
        <v>10</v>
      </c>
      <c r="S7" s="31" cm="1">
        <f t="array" ref="S7">_xlfn.XLOOKUP($A7,DataColumnRange,_xlfn.XLOOKUP(S$1,dataRowRange,ActualDataRange))</f>
        <v>10</v>
      </c>
      <c r="T7" s="31" t="str" cm="1">
        <f t="array" ref="T7">_xlfn.XLOOKUP($A7,DataColumnRange,_xlfn.XLOOKUP(T$1,dataRowRange,ActualDataRange))</f>
        <v>IN</v>
      </c>
      <c r="U7" s="31" t="str" cm="1">
        <f t="array" ref="U7">_xlfn.XLOOKUP($A7,DataColumnRange,_xlfn.XLOOKUP(U$1,dataRowRange,ActualDataRange))</f>
        <v>Cubic Feet</v>
      </c>
      <c r="V7" s="31" t="str" cm="1">
        <f t="array" ref="V7">_xlfn.XLOOKUP($A7,DataColumnRange,_xlfn.XLOOKUP(V$1,dataRowRange,ActualDataRange))</f>
        <v>Yes</v>
      </c>
      <c r="W7" s="31" t="str" cm="1">
        <f t="array" ref="W7">_xlfn.XLOOKUP($A7,DataColumnRange,_xlfn.XLOOKUP(W$1,dataRowRange,ActualDataRange))</f>
        <v>No</v>
      </c>
      <c r="X7" s="31" t="str" cm="1">
        <f t="array" ref="X7">_xlfn.XLOOKUP($A7,DataColumnRange,_xlfn.XLOOKUP(X$1,dataRowRange,ActualDataRange))</f>
        <v>Yes</v>
      </c>
      <c r="Y7" s="31" cm="1">
        <f t="array" ref="Y7">_xlfn.XLOOKUP($A7,DataColumnRange,_xlfn.XLOOKUP(Y$1,dataRowRange,ActualDataRange))</f>
        <v>2</v>
      </c>
      <c r="Z7" s="31" t="str" cm="1">
        <f t="array" ref="Z7">_xlfn.XLOOKUP($A7,DataColumnRange,_xlfn.XLOOKUP(Z$1,dataRowRange,ActualDataRange))</f>
        <v>No</v>
      </c>
      <c r="AA7" s="31" t="str" cm="1">
        <f t="array" ref="AA7">_xlfn.XLOOKUP($A7,DataColumnRange,_xlfn.XLOOKUP(AA$1,dataRowRange,ActualDataRange))</f>
        <v>NA</v>
      </c>
      <c r="AB7" s="31" t="str" cm="1">
        <f t="array" ref="AB7">_xlfn.XLOOKUP($A7,DataColumnRange,_xlfn.XLOOKUP(AB$1,dataRowRange,ActualDataRange))</f>
        <v>000260018</v>
      </c>
      <c r="AC7" s="31" t="str" cm="1">
        <f t="array" ref="AC7">_xlfn.XLOOKUP($A7,DataColumnRange,_xlfn.XLOOKUP(AC$1,dataRowRange,ActualDataRange))</f>
        <v>GeneralCargoTemplate</v>
      </c>
      <c r="AD7" s="31" t="str" cm="1">
        <f t="array" ref="AD7">_xlfn.XLOOKUP($A7,DataColumnRange,_xlfn.XLOOKUP(AD$1,dataRowRange,ActualDataRange))</f>
        <v>CreditCard</v>
      </c>
      <c r="AE7" s="31" t="str" cm="1">
        <f t="array" ref="AE7">_xlfn.XLOOKUP($A7,DataColumnRange,_xlfn.XLOOKUP(AE$1,dataRowRange,ActualDataRange))</f>
        <v>NA</v>
      </c>
      <c r="AF7" s="31" t="str" cm="1">
        <f t="array" ref="AF7">_xlfn.XLOOKUP($A7,DataColumnRange,_xlfn.XLOOKUP(AF$1,dataRowRange,ActualDataRange))</f>
        <v>Test1</v>
      </c>
      <c r="AG7" s="31" t="str" cm="1">
        <f t="array" ref="AG7">_xlfn.XLOOKUP($A7,DataColumnRange,_xlfn.XLOOKUP(AG$1,dataRowRange,ActualDataRange))</f>
        <v>Test2</v>
      </c>
      <c r="AH7" s="31" t="str" cm="1">
        <f t="array" ref="AH7">_xlfn.XLOOKUP($A7,DataColumnRange,_xlfn.XLOOKUP(AH$1,dataRowRange,ActualDataRange))</f>
        <v>Atlanta</v>
      </c>
      <c r="AI7" s="31" t="str" cm="1">
        <f t="array" ref="AI7">_xlfn.XLOOKUP($A7,DataColumnRange,_xlfn.XLOOKUP(AI$1,dataRowRange,ActualDataRange))</f>
        <v>Georgia</v>
      </c>
      <c r="AJ7" s="31" cm="1">
        <f t="array" ref="AJ7">_xlfn.XLOOKUP($A7,DataColumnRange,_xlfn.XLOOKUP(AJ$1,dataRowRange,ActualDataRange))</f>
        <v>55055</v>
      </c>
      <c r="AK7" s="31" t="str" cm="1">
        <f t="array" ref="AK7">_xlfn.XLOOKUP($A7,DataColumnRange,_xlfn.XLOOKUP(AK$1,dataRowRange,ActualDataRange))</f>
        <v>171276181</v>
      </c>
      <c r="AL7" s="31" t="str" cm="1">
        <f t="array" ref="AL7">_xlfn.XLOOKUP($A7,DataColumnRange,_xlfn.XLOOKUP(AL$1,dataRowRange,ActualDataRange))</f>
        <v>International</v>
      </c>
      <c r="AM7" s="31" cm="1">
        <f t="array" ref="AM7">_xlfn.XLOOKUP($A7,DataColumnRange,_xlfn.XLOOKUP(AM$1,dataRowRange,ActualDataRange))</f>
        <v>0</v>
      </c>
    </row>
  </sheetData>
  <hyperlinks>
    <hyperlink ref="A1" location="TestCaseConfig!A1" display="Testcase" xr:uid="{79C6A177-6EA3-A445-A693-25C7E166E52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2954-2B6D-C042-9263-9F192091C8D5}">
  <dimension ref="A1:AN7"/>
  <sheetViews>
    <sheetView zoomScale="95" zoomScaleNormal="95" workbookViewId="0">
      <selection activeCell="E2" sqref="E2"/>
    </sheetView>
  </sheetViews>
  <sheetFormatPr defaultColWidth="11" defaultRowHeight="15.5"/>
  <cols>
    <col min="1" max="1" width="62.83203125" customWidth="1"/>
    <col min="2" max="2" width="16" bestFit="1" customWidth="1"/>
    <col min="3" max="3" width="23.08203125" bestFit="1" customWidth="1"/>
    <col min="5" max="5" width="14.58203125" bestFit="1" customWidth="1"/>
    <col min="6" max="6" width="23.83203125" bestFit="1" customWidth="1"/>
    <col min="38" max="38" width="16" customWidth="1"/>
    <col min="40" max="40" width="13.33203125" customWidth="1"/>
  </cols>
  <sheetData>
    <row r="1" spans="1:40" s="11" customFormat="1" ht="16" thickBot="1">
      <c r="A1" s="19" t="s">
        <v>118</v>
      </c>
      <c r="B1" s="20" t="s">
        <v>2</v>
      </c>
      <c r="C1" s="20" t="s">
        <v>24</v>
      </c>
      <c r="D1" s="20" t="s">
        <v>110</v>
      </c>
      <c r="E1" s="20" t="s">
        <v>210</v>
      </c>
      <c r="F1" s="20" t="s">
        <v>122</v>
      </c>
      <c r="G1" s="20" t="s">
        <v>123</v>
      </c>
      <c r="H1" s="21" t="s">
        <v>101</v>
      </c>
      <c r="I1" s="20" t="s">
        <v>32</v>
      </c>
      <c r="J1" s="20" t="s">
        <v>140</v>
      </c>
      <c r="K1" s="20" t="s">
        <v>141</v>
      </c>
      <c r="L1" s="20" t="s">
        <v>211</v>
      </c>
      <c r="M1" s="27" t="s">
        <v>196</v>
      </c>
      <c r="N1" s="25" t="s">
        <v>146</v>
      </c>
      <c r="O1" s="20" t="s">
        <v>144</v>
      </c>
      <c r="P1" s="27" t="s">
        <v>150</v>
      </c>
      <c r="Q1" s="20" t="s">
        <v>147</v>
      </c>
      <c r="R1" s="20" t="s">
        <v>148</v>
      </c>
      <c r="S1" s="26" t="s">
        <v>149</v>
      </c>
      <c r="T1" s="20" t="s">
        <v>151</v>
      </c>
      <c r="U1" s="20" t="s">
        <v>5</v>
      </c>
      <c r="V1" s="20" t="s">
        <v>6</v>
      </c>
      <c r="W1" s="20" t="s">
        <v>7</v>
      </c>
      <c r="X1" s="20" t="s">
        <v>8</v>
      </c>
      <c r="Y1" s="20" t="s">
        <v>10</v>
      </c>
      <c r="Z1" s="20" t="s">
        <v>56</v>
      </c>
      <c r="AA1" s="20" t="s">
        <v>59</v>
      </c>
      <c r="AB1" s="20" t="s">
        <v>11</v>
      </c>
      <c r="AC1" s="20" t="s">
        <v>12</v>
      </c>
      <c r="AD1" s="20" t="s">
        <v>13</v>
      </c>
      <c r="AE1" s="20" t="s">
        <v>40</v>
      </c>
      <c r="AF1" s="20" t="s">
        <v>153</v>
      </c>
      <c r="AG1" s="20" t="s">
        <v>154</v>
      </c>
      <c r="AH1" s="20" t="s">
        <v>155</v>
      </c>
      <c r="AI1" s="20" t="s">
        <v>156</v>
      </c>
      <c r="AJ1" s="25" t="s">
        <v>157</v>
      </c>
      <c r="AK1" s="20" t="s">
        <v>102</v>
      </c>
      <c r="AL1" s="20" t="s">
        <v>207</v>
      </c>
      <c r="AM1" s="20" t="s">
        <v>73</v>
      </c>
      <c r="AN1" s="20" t="s">
        <v>230</v>
      </c>
    </row>
    <row r="2" spans="1:40" ht="17" thickBot="1">
      <c r="A2" s="64" t="s">
        <v>239</v>
      </c>
      <c r="B2" s="42" t="s">
        <v>233</v>
      </c>
      <c r="C2" s="32" t="s">
        <v>35</v>
      </c>
      <c r="D2" s="40" t="str">
        <f>IF(TestCaseConfig!$B$2="Yes","Yes","No")</f>
        <v>Yes</v>
      </c>
      <c r="E2" s="31" t="str" cm="1">
        <f t="array" ref="E2">_xlfn.XLOOKUP($A2,DataColumnRange,_xlfn.XLOOKUP(E$1,dataRowRange,ActualDataRange))</f>
        <v>STANDARD</v>
      </c>
      <c r="F2" s="31" t="str" cm="1">
        <f t="array" ref="F2">_xlfn.XLOOKUP($A2,DataColumnRange,_xlfn.XLOOKUP(F$1,dataRowRange,ActualDataRange))</f>
        <v>sumit.choudhary@delta.com</v>
      </c>
      <c r="G2" s="31" t="str" cm="1">
        <f t="array" ref="G2">_xlfn.XLOOKUP($A2,DataColumnRange,_xlfn.XLOOKUP(G$1,dataRowRange,ActualDataRange))</f>
        <v>Delta2</v>
      </c>
      <c r="H2" s="31" t="b" cm="1">
        <f t="array" ref="H2">_xlfn.XLOOKUP($A2,DataColumnRange,_xlfn.XLOOKUP(H$1,dataRowRange,ActualDataRange))</f>
        <v>1</v>
      </c>
      <c r="I2" s="31" t="str" cm="1">
        <f t="array" ref="I2">_xlfn.XLOOKUP($A2,DataColumnRange,_xlfn.XLOOKUP(I$1,dataRowRange,ActualDataRange))</f>
        <v>NA</v>
      </c>
      <c r="J2" s="31" t="str" cm="1">
        <f t="array" ref="J2">_xlfn.XLOOKUP($A2,DataColumnRange,_xlfn.XLOOKUP(J$1,dataRowRange,ActualDataRange))</f>
        <v>ATL</v>
      </c>
      <c r="K2" s="31" t="str" cm="1">
        <f t="array" ref="K2">_xlfn.XLOOKUP($A2,DataColumnRange,_xlfn.XLOOKUP(K$1,dataRowRange,ActualDataRange))</f>
        <v>MSP</v>
      </c>
      <c r="L2" s="31" t="str" cm="1">
        <f t="array" ref="L2">_xlfn.XLOOKUP($A2,DataColumnRange,_xlfn.XLOOKUP(L$1,dataRowRange,ActualDataRange))</f>
        <v>NA</v>
      </c>
      <c r="M2" s="31" t="str" cm="1">
        <f t="array" ref="M2">_xlfn.XLOOKUP($A2,DataColumnRange,_xlfn.XLOOKUP(M$1,dataRowRange,ActualDataRange))</f>
        <v>Test Parcels</v>
      </c>
      <c r="N2" s="31" cm="1">
        <f t="array" ref="N2">_xlfn.XLOOKUP($A2,DataColumnRange,_xlfn.XLOOKUP(N$1,dataRowRange,ActualDataRange))</f>
        <v>30</v>
      </c>
      <c r="O2" s="31" t="str" cm="1">
        <f t="array" ref="O2">_xlfn.XLOOKUP($A2,DataColumnRange,_xlfn.XLOOKUP(O$1,dataRowRange,ActualDataRange))</f>
        <v>KG</v>
      </c>
      <c r="P2" s="31" cm="1">
        <f t="array" ref="P2">_xlfn.XLOOKUP($A2,DataColumnRange,_xlfn.XLOOKUP(P$1,dataRowRange,ActualDataRange))</f>
        <v>1</v>
      </c>
      <c r="Q2" s="31" cm="1">
        <f t="array" ref="Q2">_xlfn.XLOOKUP($A2,DataColumnRange,_xlfn.XLOOKUP(Q$1,dataRowRange,ActualDataRange))</f>
        <v>10</v>
      </c>
      <c r="R2" s="31" cm="1">
        <f t="array" ref="R2">_xlfn.XLOOKUP($A2,DataColumnRange,_xlfn.XLOOKUP(R$1,dataRowRange,ActualDataRange))</f>
        <v>10</v>
      </c>
      <c r="S2" s="31" cm="1">
        <f t="array" ref="S2">_xlfn.XLOOKUP($A2,DataColumnRange,_xlfn.XLOOKUP(S$1,dataRowRange,ActualDataRange))</f>
        <v>10</v>
      </c>
      <c r="T2" s="31" t="str" cm="1">
        <f t="array" ref="T2">_xlfn.XLOOKUP($A2,DataColumnRange,_xlfn.XLOOKUP(T$1,dataRowRange,ActualDataRange))</f>
        <v>CM</v>
      </c>
      <c r="U2" s="31" t="str" cm="1">
        <f t="array" ref="U2">_xlfn.XLOOKUP($A2,DataColumnRange,_xlfn.XLOOKUP(U$1,dataRowRange,ActualDataRange))</f>
        <v>NA</v>
      </c>
      <c r="V2" s="31" t="str" cm="1">
        <f t="array" ref="V2">_xlfn.XLOOKUP($A2,DataColumnRange,_xlfn.XLOOKUP(V$1,dataRowRange,ActualDataRange))</f>
        <v>Yes</v>
      </c>
      <c r="W2" s="31" t="str" cm="1">
        <f t="array" ref="W2">_xlfn.XLOOKUP($A2,DataColumnRange,_xlfn.XLOOKUP(W$1,dataRowRange,ActualDataRange))</f>
        <v>No</v>
      </c>
      <c r="X2" s="31" t="str" cm="1">
        <f t="array" ref="X2">_xlfn.XLOOKUP($A2,DataColumnRange,_xlfn.XLOOKUP(X$1,dataRowRange,ActualDataRange))</f>
        <v>No</v>
      </c>
      <c r="Y2" s="31" cm="1">
        <f t="array" ref="Y2">_xlfn.XLOOKUP($A2,DataColumnRange,_xlfn.XLOOKUP(Y$1,dataRowRange,ActualDataRange))</f>
        <v>2</v>
      </c>
      <c r="Z2" s="31" t="str" cm="1">
        <f t="array" ref="Z2">_xlfn.XLOOKUP($A2,DataColumnRange,_xlfn.XLOOKUP(Z$1,dataRowRange,ActualDataRange))</f>
        <v>No</v>
      </c>
      <c r="AA2" s="31" t="str" cm="1">
        <f t="array" ref="AA2">_xlfn.XLOOKUP($A2,DataColumnRange,_xlfn.XLOOKUP(AA$1,dataRowRange,ActualDataRange))</f>
        <v>NA</v>
      </c>
      <c r="AB2" s="31" t="str" cm="1">
        <f t="array" ref="AB2">_xlfn.XLOOKUP($A2,DataColumnRange,_xlfn.XLOOKUP(AB$1,dataRowRange,ActualDataRange))</f>
        <v>000260018</v>
      </c>
      <c r="AC2" s="31" t="str" cm="1">
        <f t="array" ref="AC2">_xlfn.XLOOKUP($A2,DataColumnRange,_xlfn.XLOOKUP(AC$1,dataRowRange,ActualDataRange))</f>
        <v>GeneralCargoTemplate</v>
      </c>
      <c r="AD2" s="31" t="str" cm="1">
        <f t="array" ref="AD2">_xlfn.XLOOKUP($A2,DataColumnRange,_xlfn.XLOOKUP(AD$1,dataRowRange,ActualDataRange))</f>
        <v>CreditCard</v>
      </c>
      <c r="AE2" s="31" t="str" cm="1">
        <f t="array" ref="AE2">_xlfn.XLOOKUP($A2,DataColumnRange,_xlfn.XLOOKUP(AE$1,dataRowRange,ActualDataRange))</f>
        <v>NA</v>
      </c>
      <c r="AF2" s="31" t="str" cm="1">
        <f t="array" ref="AF2">_xlfn.XLOOKUP($A2,DataColumnRange,_xlfn.XLOOKUP(AF$1,dataRowRange,ActualDataRange))</f>
        <v>Test1</v>
      </c>
      <c r="AG2" s="31" t="str" cm="1">
        <f t="array" ref="AG2">_xlfn.XLOOKUP($A2,DataColumnRange,_xlfn.XLOOKUP(AG$1,dataRowRange,ActualDataRange))</f>
        <v>Test2</v>
      </c>
      <c r="AH2" s="31" t="str" cm="1">
        <f t="array" ref="AH2">_xlfn.XLOOKUP($A2,DataColumnRange,_xlfn.XLOOKUP(AH$1,dataRowRange,ActualDataRange))</f>
        <v>Atlanta</v>
      </c>
      <c r="AI2" s="31" t="str" cm="1">
        <f t="array" ref="AI2">_xlfn.XLOOKUP($A2,DataColumnRange,_xlfn.XLOOKUP(AI$1,dataRowRange,ActualDataRange))</f>
        <v>Georgia</v>
      </c>
      <c r="AJ2" s="31" cm="1">
        <f t="array" ref="AJ2">_xlfn.XLOOKUP($A2,DataColumnRange,_xlfn.XLOOKUP(AJ$1,dataRowRange,ActualDataRange))</f>
        <v>55055</v>
      </c>
      <c r="AK2" s="31" t="str" cm="1">
        <f t="array" ref="AK2">_xlfn.XLOOKUP($A2,DataColumnRange,_xlfn.XLOOKUP(AK$1,dataRowRange,ActualDataRange))</f>
        <v>000075010</v>
      </c>
      <c r="AL2" s="31" t="str" cm="1">
        <f t="array" ref="AL2">_xlfn.XLOOKUP($A2,DataColumnRange,_xlfn.XLOOKUP(AL$1,dataRowRange,ActualDataRange))</f>
        <v>Domestic</v>
      </c>
      <c r="AM2" s="31" cm="1">
        <f t="array" ref="AM2">_xlfn.XLOOKUP($A2,DataColumnRange,_xlfn.XLOOKUP(AM$1,dataRowRange,ActualDataRange))</f>
        <v>0</v>
      </c>
      <c r="AN2" s="31" cm="1">
        <f t="array" ref="AN2">_xlfn.XLOOKUP($A2,DataColumnRange,_xlfn.XLOOKUP(AN$1,dataRowRange,ActualDataRange))</f>
        <v>2</v>
      </c>
    </row>
    <row r="3" spans="1:40" ht="17" thickBot="1">
      <c r="A3" s="64" t="s">
        <v>240</v>
      </c>
      <c r="B3" s="43" t="s">
        <v>233</v>
      </c>
      <c r="C3" s="32" t="s">
        <v>35</v>
      </c>
      <c r="D3" s="40" t="str">
        <f>IF(TestCaseConfig!$B$2="Yes","Yes","No")</f>
        <v>Yes</v>
      </c>
      <c r="E3" s="31" t="str" cm="1">
        <f t="array" ref="E3">_xlfn.XLOOKUP($A3,DataColumnRange,_xlfn.XLOOKUP(E$1,dataRowRange,ActualDataRange))</f>
        <v>DSH</v>
      </c>
      <c r="F3" s="31" t="str" cm="1">
        <f t="array" ref="F3">_xlfn.XLOOKUP($A3,DataColumnRange,_xlfn.XLOOKUP(F$1,dataRowRange,ActualDataRange))</f>
        <v>sumit.choudhary@delta.com</v>
      </c>
      <c r="G3" s="31" t="str" cm="1">
        <f t="array" ref="G3">_xlfn.XLOOKUP($A3,DataColumnRange,_xlfn.XLOOKUP(G$1,dataRowRange,ActualDataRange))</f>
        <v>Delta2</v>
      </c>
      <c r="H3" s="31" t="b" cm="1">
        <f t="array" ref="H3">_xlfn.XLOOKUP($A3,DataColumnRange,_xlfn.XLOOKUP(H$1,dataRowRange,ActualDataRange))</f>
        <v>1</v>
      </c>
      <c r="I3" s="31" t="str" cm="1">
        <f t="array" ref="I3">_xlfn.XLOOKUP($A3,DataColumnRange,_xlfn.XLOOKUP(I$1,dataRowRange,ActualDataRange))</f>
        <v>NA</v>
      </c>
      <c r="J3" s="31" t="str" cm="1">
        <f t="array" ref="J3">_xlfn.XLOOKUP($A3,DataColumnRange,_xlfn.XLOOKUP(J$1,dataRowRange,ActualDataRange))</f>
        <v>ORD</v>
      </c>
      <c r="K3" s="31" t="str" cm="1">
        <f t="array" ref="K3">_xlfn.XLOOKUP($A3,DataColumnRange,_xlfn.XLOOKUP(K$1,dataRowRange,ActualDataRange))</f>
        <v>SEA</v>
      </c>
      <c r="L3" s="31" t="str" cm="1">
        <f t="array" ref="L3">_xlfn.XLOOKUP($A3,DataColumnRange,_xlfn.XLOOKUP(L$1,dataRowRange,ActualDataRange))</f>
        <v>NA</v>
      </c>
      <c r="M3" s="31" t="str" cm="1">
        <f t="array" ref="M3">_xlfn.XLOOKUP($A3,DataColumnRange,_xlfn.XLOOKUP(M$1,dataRowRange,ActualDataRange))</f>
        <v>Test Parcels</v>
      </c>
      <c r="N3" s="31" cm="1">
        <f t="array" ref="N3">_xlfn.XLOOKUP($A3,DataColumnRange,_xlfn.XLOOKUP(N$1,dataRowRange,ActualDataRange))</f>
        <v>60</v>
      </c>
      <c r="O3" s="31" t="str" cm="1">
        <f t="array" ref="O3">_xlfn.XLOOKUP($A3,DataColumnRange,_xlfn.XLOOKUP(O$1,dataRowRange,ActualDataRange))</f>
        <v>LB</v>
      </c>
      <c r="P3" s="31" cm="1">
        <f t="array" ref="P3">_xlfn.XLOOKUP($A3,DataColumnRange,_xlfn.XLOOKUP(P$1,dataRowRange,ActualDataRange))</f>
        <v>3</v>
      </c>
      <c r="Q3" s="31" cm="1">
        <f t="array" ref="Q3">_xlfn.XLOOKUP($A3,DataColumnRange,_xlfn.XLOOKUP(Q$1,dataRowRange,ActualDataRange))</f>
        <v>10</v>
      </c>
      <c r="R3" s="31" cm="1">
        <f t="array" ref="R3">_xlfn.XLOOKUP($A3,DataColumnRange,_xlfn.XLOOKUP(R$1,dataRowRange,ActualDataRange))</f>
        <v>10</v>
      </c>
      <c r="S3" s="31" cm="1">
        <f t="array" ref="S3">_xlfn.XLOOKUP($A3,DataColumnRange,_xlfn.XLOOKUP(S$1,dataRowRange,ActualDataRange))</f>
        <v>10</v>
      </c>
      <c r="T3" s="31" t="str" cm="1">
        <f t="array" ref="T3">_xlfn.XLOOKUP($A3,DataColumnRange,_xlfn.XLOOKUP(T$1,dataRowRange,ActualDataRange))</f>
        <v>IN</v>
      </c>
      <c r="U3" s="31" t="str" cm="1">
        <f t="array" ref="U3">_xlfn.XLOOKUP($A3,DataColumnRange,_xlfn.XLOOKUP(U$1,dataRowRange,ActualDataRange))</f>
        <v>NA</v>
      </c>
      <c r="V3" s="31" t="str" cm="1">
        <f t="array" ref="V3">_xlfn.XLOOKUP($A3,DataColumnRange,_xlfn.XLOOKUP(V$1,dataRowRange,ActualDataRange))</f>
        <v>No</v>
      </c>
      <c r="W3" s="31" t="str" cm="1">
        <f t="array" ref="W3">_xlfn.XLOOKUP($A3,DataColumnRange,_xlfn.XLOOKUP(W$1,dataRowRange,ActualDataRange))</f>
        <v>No</v>
      </c>
      <c r="X3" s="31" t="str" cm="1">
        <f t="array" ref="X3">_xlfn.XLOOKUP($A3,DataColumnRange,_xlfn.XLOOKUP(X$1,dataRowRange,ActualDataRange))</f>
        <v>Yes</v>
      </c>
      <c r="Y3" s="31" cm="1">
        <f t="array" ref="Y3">_xlfn.XLOOKUP($A3,DataColumnRange,_xlfn.XLOOKUP(Y$1,dataRowRange,ActualDataRange))</f>
        <v>2</v>
      </c>
      <c r="Z3" s="31" t="str" cm="1">
        <f t="array" ref="Z3">_xlfn.XLOOKUP($A3,DataColumnRange,_xlfn.XLOOKUP(Z$1,dataRowRange,ActualDataRange))</f>
        <v>No</v>
      </c>
      <c r="AA3" s="31" t="str" cm="1">
        <f t="array" ref="AA3">_xlfn.XLOOKUP($A3,DataColumnRange,_xlfn.XLOOKUP(AA$1,dataRowRange,ActualDataRange))</f>
        <v>NA</v>
      </c>
      <c r="AB3" s="31" t="str" cm="1">
        <f t="array" ref="AB3">_xlfn.XLOOKUP($A3,DataColumnRange,_xlfn.XLOOKUP(AB$1,dataRowRange,ActualDataRange))</f>
        <v>000260018</v>
      </c>
      <c r="AC3" s="31" t="str" cm="1">
        <f t="array" ref="AC3">_xlfn.XLOOKUP($A3,DataColumnRange,_xlfn.XLOOKUP(AC$1,dataRowRange,ActualDataRange))</f>
        <v>GeneralCargoTemplate</v>
      </c>
      <c r="AD3" s="31" t="str" cm="1">
        <f t="array" ref="AD3">_xlfn.XLOOKUP($A3,DataColumnRange,_xlfn.XLOOKUP(AD$1,dataRowRange,ActualDataRange))</f>
        <v>CreditCard</v>
      </c>
      <c r="AE3" s="31" t="str" cm="1">
        <f t="array" ref="AE3">_xlfn.XLOOKUP($A3,DataColumnRange,_xlfn.XLOOKUP(AE$1,dataRowRange,ActualDataRange))</f>
        <v>NA</v>
      </c>
      <c r="AF3" s="31" t="str" cm="1">
        <f t="array" ref="AF3">_xlfn.XLOOKUP($A3,DataColumnRange,_xlfn.XLOOKUP(AF$1,dataRowRange,ActualDataRange))</f>
        <v>Test1</v>
      </c>
      <c r="AG3" s="31" t="str" cm="1">
        <f t="array" ref="AG3">_xlfn.XLOOKUP($A3,DataColumnRange,_xlfn.XLOOKUP(AG$1,dataRowRange,ActualDataRange))</f>
        <v>Test2</v>
      </c>
      <c r="AH3" s="31" t="str" cm="1">
        <f t="array" ref="AH3">_xlfn.XLOOKUP($A3,DataColumnRange,_xlfn.XLOOKUP(AH$1,dataRowRange,ActualDataRange))</f>
        <v>Atlanta</v>
      </c>
      <c r="AI3" s="31" t="str" cm="1">
        <f t="array" ref="AI3">_xlfn.XLOOKUP($A3,DataColumnRange,_xlfn.XLOOKUP(AI$1,dataRowRange,ActualDataRange))</f>
        <v>Georgia</v>
      </c>
      <c r="AJ3" s="31" cm="1">
        <f t="array" ref="AJ3">_xlfn.XLOOKUP($A3,DataColumnRange,_xlfn.XLOOKUP(AJ$1,dataRowRange,ActualDataRange))</f>
        <v>55055</v>
      </c>
      <c r="AK3" s="31" t="str" cm="1">
        <f t="array" ref="AK3">_xlfn.XLOOKUP($A3,DataColumnRange,_xlfn.XLOOKUP(AK$1,dataRowRange,ActualDataRange))</f>
        <v>000075010</v>
      </c>
      <c r="AL3" s="31" t="str" cm="1">
        <f t="array" ref="AL3">_xlfn.XLOOKUP($A3,DataColumnRange,_xlfn.XLOOKUP(AL$1,dataRowRange,ActualDataRange))</f>
        <v>Domestic</v>
      </c>
      <c r="AM3" s="31" cm="1">
        <f t="array" ref="AM3">_xlfn.XLOOKUP($A3,DataColumnRange,_xlfn.XLOOKUP(AM$1,dataRowRange,ActualDataRange))</f>
        <v>0</v>
      </c>
      <c r="AN3" s="31" cm="1">
        <f t="array" ref="AN3">_xlfn.XLOOKUP($A3,DataColumnRange,_xlfn.XLOOKUP(AN$1,dataRowRange,ActualDataRange))</f>
        <v>3</v>
      </c>
    </row>
    <row r="4" spans="1:40" ht="17" thickBot="1">
      <c r="A4" s="64" t="s">
        <v>241</v>
      </c>
      <c r="B4" s="43" t="s">
        <v>233</v>
      </c>
      <c r="C4" s="32" t="s">
        <v>35</v>
      </c>
      <c r="D4" s="40" t="str">
        <f>IF(TestCaseConfig!$B$2="Yes","Yes","No")</f>
        <v>Yes</v>
      </c>
      <c r="E4" s="31" t="str" cm="1">
        <f t="array" ref="E4">_xlfn.XLOOKUP($A4,DataColumnRange,_xlfn.XLOOKUP(E$1,dataRowRange,ActualDataRange))</f>
        <v>DMD</v>
      </c>
      <c r="F4" s="31" t="str" cm="1">
        <f t="array" ref="F4">_xlfn.XLOOKUP($A4,DataColumnRange,_xlfn.XLOOKUP(F$1,dataRowRange,ActualDataRange))</f>
        <v>sumit.choudhary@delta.com</v>
      </c>
      <c r="G4" s="31" t="str" cm="1">
        <f t="array" ref="G4">_xlfn.XLOOKUP($A4,DataColumnRange,_xlfn.XLOOKUP(G$1,dataRowRange,ActualDataRange))</f>
        <v>Delta2</v>
      </c>
      <c r="H4" s="31" t="b" cm="1">
        <f t="array" ref="H4">_xlfn.XLOOKUP($A4,DataColumnRange,_xlfn.XLOOKUP(H$1,dataRowRange,ActualDataRange))</f>
        <v>1</v>
      </c>
      <c r="I4" s="31" t="str" cm="1">
        <f t="array" ref="I4">_xlfn.XLOOKUP($A4,DataColumnRange,_xlfn.XLOOKUP(I$1,dataRowRange,ActualDataRange))</f>
        <v>NA</v>
      </c>
      <c r="J4" s="31" t="str" cm="1">
        <f t="array" ref="J4">_xlfn.XLOOKUP($A4,DataColumnRange,_xlfn.XLOOKUP(J$1,dataRowRange,ActualDataRange))</f>
        <v>JFK</v>
      </c>
      <c r="K4" s="31" t="str" cm="1">
        <f t="array" ref="K4">_xlfn.XLOOKUP($A4,DataColumnRange,_xlfn.XLOOKUP(K$1,dataRowRange,ActualDataRange))</f>
        <v>MSP</v>
      </c>
      <c r="L4" s="31" t="str" cm="1">
        <f t="array" ref="L4">_xlfn.XLOOKUP($A4,DataColumnRange,_xlfn.XLOOKUP(L$1,dataRowRange,ActualDataRange))</f>
        <v>NA</v>
      </c>
      <c r="M4" s="31" t="str" cm="1">
        <f t="array" ref="M4">_xlfn.XLOOKUP($A4,DataColumnRange,_xlfn.XLOOKUP(M$1,dataRowRange,ActualDataRange))</f>
        <v>Test Parcels</v>
      </c>
      <c r="N4" s="31" cm="1">
        <f t="array" ref="N4">_xlfn.XLOOKUP($A4,DataColumnRange,_xlfn.XLOOKUP(N$1,dataRowRange,ActualDataRange))</f>
        <v>90</v>
      </c>
      <c r="O4" s="31" t="str" cm="1">
        <f t="array" ref="O4">_xlfn.XLOOKUP($A4,DataColumnRange,_xlfn.XLOOKUP(O$1,dataRowRange,ActualDataRange))</f>
        <v>KG</v>
      </c>
      <c r="P4" s="31" cm="1">
        <f t="array" ref="P4">_xlfn.XLOOKUP($A4,DataColumnRange,_xlfn.XLOOKUP(P$1,dataRowRange,ActualDataRange))</f>
        <v>4</v>
      </c>
      <c r="Q4" s="31" cm="1">
        <f t="array" ref="Q4">_xlfn.XLOOKUP($A4,DataColumnRange,_xlfn.XLOOKUP(Q$1,dataRowRange,ActualDataRange))</f>
        <v>10</v>
      </c>
      <c r="R4" s="31" cm="1">
        <f t="array" ref="R4">_xlfn.XLOOKUP($A4,DataColumnRange,_xlfn.XLOOKUP(R$1,dataRowRange,ActualDataRange))</f>
        <v>10</v>
      </c>
      <c r="S4" s="31" cm="1">
        <f t="array" ref="S4">_xlfn.XLOOKUP($A4,DataColumnRange,_xlfn.XLOOKUP(S$1,dataRowRange,ActualDataRange))</f>
        <v>10</v>
      </c>
      <c r="T4" s="31" t="str" cm="1">
        <f t="array" ref="T4">_xlfn.XLOOKUP($A4,DataColumnRange,_xlfn.XLOOKUP(T$1,dataRowRange,ActualDataRange))</f>
        <v>CM</v>
      </c>
      <c r="U4" s="31" t="str" cm="1">
        <f t="array" ref="U4">_xlfn.XLOOKUP($A4,DataColumnRange,_xlfn.XLOOKUP(U$1,dataRowRange,ActualDataRange))</f>
        <v>NA</v>
      </c>
      <c r="V4" s="31" t="str" cm="1">
        <f t="array" ref="V4">_xlfn.XLOOKUP($A4,DataColumnRange,_xlfn.XLOOKUP(V$1,dataRowRange,ActualDataRange))</f>
        <v>Yes</v>
      </c>
      <c r="W4" s="31" t="str" cm="1">
        <f t="array" ref="W4">_xlfn.XLOOKUP($A4,DataColumnRange,_xlfn.XLOOKUP(W$1,dataRowRange,ActualDataRange))</f>
        <v>No</v>
      </c>
      <c r="X4" s="31" t="str" cm="1">
        <f t="array" ref="X4">_xlfn.XLOOKUP($A4,DataColumnRange,_xlfn.XLOOKUP(X$1,dataRowRange,ActualDataRange))</f>
        <v>No</v>
      </c>
      <c r="Y4" s="31" cm="1">
        <f t="array" ref="Y4">_xlfn.XLOOKUP($A4,DataColumnRange,_xlfn.XLOOKUP(Y$1,dataRowRange,ActualDataRange))</f>
        <v>2</v>
      </c>
      <c r="Z4" s="31" t="str" cm="1">
        <f t="array" ref="Z4">_xlfn.XLOOKUP($A4,DataColumnRange,_xlfn.XLOOKUP(Z$1,dataRowRange,ActualDataRange))</f>
        <v>No</v>
      </c>
      <c r="AA4" s="31" t="str" cm="1">
        <f t="array" ref="AA4">_xlfn.XLOOKUP($A4,DataColumnRange,_xlfn.XLOOKUP(AA$1,dataRowRange,ActualDataRange))</f>
        <v>NA</v>
      </c>
      <c r="AB4" s="31" t="str" cm="1">
        <f t="array" ref="AB4">_xlfn.XLOOKUP($A4,DataColumnRange,_xlfn.XLOOKUP(AB$1,dataRowRange,ActualDataRange))</f>
        <v>000260018</v>
      </c>
      <c r="AC4" s="31" t="str" cm="1">
        <f t="array" ref="AC4">_xlfn.XLOOKUP($A4,DataColumnRange,_xlfn.XLOOKUP(AC$1,dataRowRange,ActualDataRange))</f>
        <v>GeneralCargoTemplate</v>
      </c>
      <c r="AD4" s="31" t="str" cm="1">
        <f t="array" ref="AD4">_xlfn.XLOOKUP($A4,DataColumnRange,_xlfn.XLOOKUP(AD$1,dataRowRange,ActualDataRange))</f>
        <v>CreditCard</v>
      </c>
      <c r="AE4" s="31" t="str" cm="1">
        <f t="array" ref="AE4">_xlfn.XLOOKUP($A4,DataColumnRange,_xlfn.XLOOKUP(AE$1,dataRowRange,ActualDataRange))</f>
        <v>NA</v>
      </c>
      <c r="AF4" s="31" t="str" cm="1">
        <f t="array" ref="AF4">_xlfn.XLOOKUP($A4,DataColumnRange,_xlfn.XLOOKUP(AF$1,dataRowRange,ActualDataRange))</f>
        <v>Test1</v>
      </c>
      <c r="AG4" s="31" t="str" cm="1">
        <f t="array" ref="AG4">_xlfn.XLOOKUP($A4,DataColumnRange,_xlfn.XLOOKUP(AG$1,dataRowRange,ActualDataRange))</f>
        <v>Test2</v>
      </c>
      <c r="AH4" s="31" t="str" cm="1">
        <f t="array" ref="AH4">_xlfn.XLOOKUP($A4,DataColumnRange,_xlfn.XLOOKUP(AH$1,dataRowRange,ActualDataRange))</f>
        <v>Atlanta</v>
      </c>
      <c r="AI4" s="31" t="str" cm="1">
        <f t="array" ref="AI4">_xlfn.XLOOKUP($A4,DataColumnRange,_xlfn.XLOOKUP(AI$1,dataRowRange,ActualDataRange))</f>
        <v>Georgia</v>
      </c>
      <c r="AJ4" s="31" cm="1">
        <f t="array" ref="AJ4">_xlfn.XLOOKUP($A4,DataColumnRange,_xlfn.XLOOKUP(AJ$1,dataRowRange,ActualDataRange))</f>
        <v>55055</v>
      </c>
      <c r="AK4" s="31" t="str" cm="1">
        <f t="array" ref="AK4">_xlfn.XLOOKUP($A4,DataColumnRange,_xlfn.XLOOKUP(AK$1,dataRowRange,ActualDataRange))</f>
        <v>000075010</v>
      </c>
      <c r="AL4" s="31" t="str" cm="1">
        <f t="array" ref="AL4">_xlfn.XLOOKUP($A4,DataColumnRange,_xlfn.XLOOKUP(AL$1,dataRowRange,ActualDataRange))</f>
        <v>Domestic</v>
      </c>
      <c r="AM4" s="31" cm="1">
        <f t="array" ref="AM4">_xlfn.XLOOKUP($A4,DataColumnRange,_xlfn.XLOOKUP(AM$1,dataRowRange,ActualDataRange))</f>
        <v>0</v>
      </c>
      <c r="AN4" s="31" cm="1">
        <f t="array" ref="AN4">_xlfn.XLOOKUP($A4,DataColumnRange,_xlfn.XLOOKUP(AN$1,dataRowRange,ActualDataRange))</f>
        <v>4</v>
      </c>
    </row>
    <row r="5" spans="1:40" ht="17" thickBot="1">
      <c r="A5" s="64" t="s">
        <v>242</v>
      </c>
      <c r="B5" s="43" t="s">
        <v>233</v>
      </c>
      <c r="C5" s="32" t="s">
        <v>35</v>
      </c>
      <c r="D5" s="40" t="str">
        <f>IF(TestCaseConfig!$B$2="Yes","Yes","No")</f>
        <v>Yes</v>
      </c>
      <c r="E5" s="31" t="str" cm="1">
        <f t="array" ref="E5">_xlfn.XLOOKUP($A5,DataColumnRange,_xlfn.XLOOKUP(E$1,dataRowRange,ActualDataRange))</f>
        <v>GENERAL</v>
      </c>
      <c r="F5" s="31" t="str" cm="1">
        <f t="array" ref="F5">_xlfn.XLOOKUP($A5,DataColumnRange,_xlfn.XLOOKUP(F$1,dataRowRange,ActualDataRange))</f>
        <v>sumit.choudhary@delta.com</v>
      </c>
      <c r="G5" s="31" t="str" cm="1">
        <f t="array" ref="G5">_xlfn.XLOOKUP($A5,DataColumnRange,_xlfn.XLOOKUP(G$1,dataRowRange,ActualDataRange))</f>
        <v>Delta2</v>
      </c>
      <c r="H5" s="31" t="b" cm="1">
        <f t="array" ref="H5">_xlfn.XLOOKUP($A5,DataColumnRange,_xlfn.XLOOKUP(H$1,dataRowRange,ActualDataRange))</f>
        <v>1</v>
      </c>
      <c r="I5" s="31" t="str" cm="1">
        <f t="array" ref="I5">_xlfn.XLOOKUP($A5,DataColumnRange,_xlfn.XLOOKUP(I$1,dataRowRange,ActualDataRange))</f>
        <v>NA</v>
      </c>
      <c r="J5" s="31" t="str" cm="1">
        <f t="array" ref="J5">_xlfn.XLOOKUP($A5,DataColumnRange,_xlfn.XLOOKUP(J$1,dataRowRange,ActualDataRange))</f>
        <v>ATL</v>
      </c>
      <c r="K5" s="31" t="str" cm="1">
        <f t="array" ref="K5">_xlfn.XLOOKUP($A5,DataColumnRange,_xlfn.XLOOKUP(K$1,dataRowRange,ActualDataRange))</f>
        <v>LHR</v>
      </c>
      <c r="L5" s="31" t="str" cm="1">
        <f t="array" ref="L5">_xlfn.XLOOKUP($A5,DataColumnRange,_xlfn.XLOOKUP(L$1,dataRowRange,ActualDataRange))</f>
        <v>NA</v>
      </c>
      <c r="M5" s="31" t="str" cm="1">
        <f t="array" ref="M5">_xlfn.XLOOKUP($A5,DataColumnRange,_xlfn.XLOOKUP(M$1,dataRowRange,ActualDataRange))</f>
        <v>Test Parcels</v>
      </c>
      <c r="N5" s="31" cm="1">
        <f t="array" ref="N5">_xlfn.XLOOKUP($A5,DataColumnRange,_xlfn.XLOOKUP(N$1,dataRowRange,ActualDataRange))</f>
        <v>30</v>
      </c>
      <c r="O5" s="31" t="str" cm="1">
        <f t="array" ref="O5">_xlfn.XLOOKUP($A5,DataColumnRange,_xlfn.XLOOKUP(O$1,dataRowRange,ActualDataRange))</f>
        <v>LB</v>
      </c>
      <c r="P5" s="31" cm="1">
        <f t="array" ref="P5">_xlfn.XLOOKUP($A5,DataColumnRange,_xlfn.XLOOKUP(P$1,dataRowRange,ActualDataRange))</f>
        <v>1</v>
      </c>
      <c r="Q5" s="31" cm="1">
        <f t="array" ref="Q5">_xlfn.XLOOKUP($A5,DataColumnRange,_xlfn.XLOOKUP(Q$1,dataRowRange,ActualDataRange))</f>
        <v>10</v>
      </c>
      <c r="R5" s="31" cm="1">
        <f t="array" ref="R5">_xlfn.XLOOKUP($A5,DataColumnRange,_xlfn.XLOOKUP(R$1,dataRowRange,ActualDataRange))</f>
        <v>10</v>
      </c>
      <c r="S5" s="31" cm="1">
        <f t="array" ref="S5">_xlfn.XLOOKUP($A5,DataColumnRange,_xlfn.XLOOKUP(S$1,dataRowRange,ActualDataRange))</f>
        <v>10</v>
      </c>
      <c r="T5" s="31" t="str" cm="1">
        <f t="array" ref="T5">_xlfn.XLOOKUP($A5,DataColumnRange,_xlfn.XLOOKUP(T$1,dataRowRange,ActualDataRange))</f>
        <v>IN</v>
      </c>
      <c r="U5" s="31" t="str" cm="1">
        <f t="array" ref="U5">_xlfn.XLOOKUP($A5,DataColumnRange,_xlfn.XLOOKUP(U$1,dataRowRange,ActualDataRange))</f>
        <v>NA</v>
      </c>
      <c r="V5" s="31" t="str" cm="1">
        <f t="array" ref="V5">_xlfn.XLOOKUP($A5,DataColumnRange,_xlfn.XLOOKUP(V$1,dataRowRange,ActualDataRange))</f>
        <v>No</v>
      </c>
      <c r="W5" s="31" t="str" cm="1">
        <f t="array" ref="W5">_xlfn.XLOOKUP($A5,DataColumnRange,_xlfn.XLOOKUP(W$1,dataRowRange,ActualDataRange))</f>
        <v>No</v>
      </c>
      <c r="X5" s="31" t="str" cm="1">
        <f t="array" ref="X5">_xlfn.XLOOKUP($A5,DataColumnRange,_xlfn.XLOOKUP(X$1,dataRowRange,ActualDataRange))</f>
        <v>Yes</v>
      </c>
      <c r="Y5" s="31" cm="1">
        <f t="array" ref="Y5">_xlfn.XLOOKUP($A5,DataColumnRange,_xlfn.XLOOKUP(Y$1,dataRowRange,ActualDataRange))</f>
        <v>2</v>
      </c>
      <c r="Z5" s="31" t="str" cm="1">
        <f t="array" ref="Z5">_xlfn.XLOOKUP($A5,DataColumnRange,_xlfn.XLOOKUP(Z$1,dataRowRange,ActualDataRange))</f>
        <v>No</v>
      </c>
      <c r="AA5" s="31" t="str" cm="1">
        <f t="array" ref="AA5">_xlfn.XLOOKUP($A5,DataColumnRange,_xlfn.XLOOKUP(AA$1,dataRowRange,ActualDataRange))</f>
        <v>NA</v>
      </c>
      <c r="AB5" s="31" t="str" cm="1">
        <f t="array" ref="AB5">_xlfn.XLOOKUP($A5,DataColumnRange,_xlfn.XLOOKUP(AB$1,dataRowRange,ActualDataRange))</f>
        <v>000260018</v>
      </c>
      <c r="AC5" s="31" t="str" cm="1">
        <f t="array" ref="AC5">_xlfn.XLOOKUP($A5,DataColumnRange,_xlfn.XLOOKUP(AC$1,dataRowRange,ActualDataRange))</f>
        <v>GeneralCargoTemplate</v>
      </c>
      <c r="AD5" s="31" t="str" cm="1">
        <f t="array" ref="AD5">_xlfn.XLOOKUP($A5,DataColumnRange,_xlfn.XLOOKUP(AD$1,dataRowRange,ActualDataRange))</f>
        <v>CreditCard</v>
      </c>
      <c r="AE5" s="31" t="str" cm="1">
        <f t="array" ref="AE5">_xlfn.XLOOKUP($A5,DataColumnRange,_xlfn.XLOOKUP(AE$1,dataRowRange,ActualDataRange))</f>
        <v>NA</v>
      </c>
      <c r="AF5" s="31" t="str" cm="1">
        <f t="array" ref="AF5">_xlfn.XLOOKUP($A5,DataColumnRange,_xlfn.XLOOKUP(AF$1,dataRowRange,ActualDataRange))</f>
        <v>Test1</v>
      </c>
      <c r="AG5" s="31" t="str" cm="1">
        <f t="array" ref="AG5">_xlfn.XLOOKUP($A5,DataColumnRange,_xlfn.XLOOKUP(AG$1,dataRowRange,ActualDataRange))</f>
        <v>Test2</v>
      </c>
      <c r="AH5" s="31" t="str" cm="1">
        <f t="array" ref="AH5">_xlfn.XLOOKUP($A5,DataColumnRange,_xlfn.XLOOKUP(AH$1,dataRowRange,ActualDataRange))</f>
        <v>Atlanta</v>
      </c>
      <c r="AI5" s="31" t="str" cm="1">
        <f t="array" ref="AI5">_xlfn.XLOOKUP($A5,DataColumnRange,_xlfn.XLOOKUP(AI$1,dataRowRange,ActualDataRange))</f>
        <v>Georgia</v>
      </c>
      <c r="AJ5" s="31" cm="1">
        <f t="array" ref="AJ5">_xlfn.XLOOKUP($A5,DataColumnRange,_xlfn.XLOOKUP(AJ$1,dataRowRange,ActualDataRange))</f>
        <v>55055</v>
      </c>
      <c r="AK5" s="31" t="str" cm="1">
        <f t="array" ref="AK5">_xlfn.XLOOKUP($A5,DataColumnRange,_xlfn.XLOOKUP(AK$1,dataRowRange,ActualDataRange))</f>
        <v>171276181</v>
      </c>
      <c r="AL5" s="31" t="str" cm="1">
        <f t="array" ref="AL5">_xlfn.XLOOKUP($A5,DataColumnRange,_xlfn.XLOOKUP(AL$1,dataRowRange,ActualDataRange))</f>
        <v>International</v>
      </c>
      <c r="AM5" s="31" cm="1">
        <f t="array" ref="AM5">_xlfn.XLOOKUP($A5,DataColumnRange,_xlfn.XLOOKUP(AM$1,dataRowRange,ActualDataRange))</f>
        <v>0</v>
      </c>
      <c r="AN5" s="31" cm="1">
        <f t="array" ref="AN5">_xlfn.XLOOKUP($A5,DataColumnRange,_xlfn.XLOOKUP(AN$1,dataRowRange,ActualDataRange))</f>
        <v>5</v>
      </c>
    </row>
    <row r="6" spans="1:40" ht="17" thickBot="1">
      <c r="A6" s="64" t="s">
        <v>334</v>
      </c>
      <c r="B6" s="43" t="s">
        <v>233</v>
      </c>
      <c r="C6" s="32" t="s">
        <v>35</v>
      </c>
      <c r="D6" s="40" t="str">
        <f>IF(TestCaseConfig!$B$2="Yes","Yes","No")</f>
        <v>Yes</v>
      </c>
      <c r="E6" s="31" t="str" cm="1">
        <f t="array" ref="E6">_xlfn.XLOOKUP($A6,DataColumnRange,_xlfn.XLOOKUP(E$1,dataRowRange,ActualDataRange))</f>
        <v>EXPRESS HEAVY</v>
      </c>
      <c r="F6" s="31" t="str" cm="1">
        <f t="array" ref="F6">_xlfn.XLOOKUP($A6,DataColumnRange,_xlfn.XLOOKUP(F$1,dataRowRange,ActualDataRange))</f>
        <v>sumit.choudhary@delta.com</v>
      </c>
      <c r="G6" s="31" t="str" cm="1">
        <f t="array" ref="G6">_xlfn.XLOOKUP($A6,DataColumnRange,_xlfn.XLOOKUP(G$1,dataRowRange,ActualDataRange))</f>
        <v>Delta2</v>
      </c>
      <c r="H6" s="31" t="b" cm="1">
        <f t="array" ref="H6">_xlfn.XLOOKUP($A6,DataColumnRange,_xlfn.XLOOKUP(H$1,dataRowRange,ActualDataRange))</f>
        <v>1</v>
      </c>
      <c r="I6" s="31" t="str" cm="1">
        <f t="array" ref="I6">_xlfn.XLOOKUP($A6,DataColumnRange,_xlfn.XLOOKUP(I$1,dataRowRange,ActualDataRange))</f>
        <v>NA</v>
      </c>
      <c r="J6" s="31" t="str" cm="1">
        <f t="array" ref="J6">_xlfn.XLOOKUP($A6,DataColumnRange,_xlfn.XLOOKUP(J$1,dataRowRange,ActualDataRange))</f>
        <v>ATL</v>
      </c>
      <c r="K6" s="31" t="str" cm="1">
        <f t="array" ref="K6">_xlfn.XLOOKUP($A6,DataColumnRange,_xlfn.XLOOKUP(K$1,dataRowRange,ActualDataRange))</f>
        <v>LHR</v>
      </c>
      <c r="L6" s="31" t="str" cm="1">
        <f t="array" ref="L6">_xlfn.XLOOKUP($A6,DataColumnRange,_xlfn.XLOOKUP(L$1,dataRowRange,ActualDataRange))</f>
        <v>NA</v>
      </c>
      <c r="M6" s="31" t="str" cm="1">
        <f t="array" ref="M6">_xlfn.XLOOKUP($A6,DataColumnRange,_xlfn.XLOOKUP(M$1,dataRowRange,ActualDataRange))</f>
        <v>Test Parcels</v>
      </c>
      <c r="N6" s="31" cm="1">
        <f t="array" ref="N6">_xlfn.XLOOKUP($A6,DataColumnRange,_xlfn.XLOOKUP(N$1,dataRowRange,ActualDataRange))</f>
        <v>60</v>
      </c>
      <c r="O6" s="31" t="str" cm="1">
        <f t="array" ref="O6">_xlfn.XLOOKUP($A6,DataColumnRange,_xlfn.XLOOKUP(O$1,dataRowRange,ActualDataRange))</f>
        <v>KG</v>
      </c>
      <c r="P6" s="31" cm="1">
        <f t="array" ref="P6">_xlfn.XLOOKUP($A6,DataColumnRange,_xlfn.XLOOKUP(P$1,dataRowRange,ActualDataRange))</f>
        <v>1</v>
      </c>
      <c r="Q6" s="31" cm="1">
        <f t="array" ref="Q6">_xlfn.XLOOKUP($A6,DataColumnRange,_xlfn.XLOOKUP(Q$1,dataRowRange,ActualDataRange))</f>
        <v>10</v>
      </c>
      <c r="R6" s="31" cm="1">
        <f t="array" ref="R6">_xlfn.XLOOKUP($A6,DataColumnRange,_xlfn.XLOOKUP(R$1,dataRowRange,ActualDataRange))</f>
        <v>10</v>
      </c>
      <c r="S6" s="31" cm="1">
        <f t="array" ref="S6">_xlfn.XLOOKUP($A6,DataColumnRange,_xlfn.XLOOKUP(S$1,dataRowRange,ActualDataRange))</f>
        <v>10</v>
      </c>
      <c r="T6" s="31" t="str" cm="1">
        <f t="array" ref="T6">_xlfn.XLOOKUP($A6,DataColumnRange,_xlfn.XLOOKUP(T$1,dataRowRange,ActualDataRange))</f>
        <v>CM</v>
      </c>
      <c r="U6" s="31" t="str" cm="1">
        <f t="array" ref="U6">_xlfn.XLOOKUP($A6,DataColumnRange,_xlfn.XLOOKUP(U$1,dataRowRange,ActualDataRange))</f>
        <v>NA</v>
      </c>
      <c r="V6" s="31" t="str" cm="1">
        <f t="array" ref="V6">_xlfn.XLOOKUP($A6,DataColumnRange,_xlfn.XLOOKUP(V$1,dataRowRange,ActualDataRange))</f>
        <v>Yes</v>
      </c>
      <c r="W6" s="31" t="str" cm="1">
        <f t="array" ref="W6">_xlfn.XLOOKUP($A6,DataColumnRange,_xlfn.XLOOKUP(W$1,dataRowRange,ActualDataRange))</f>
        <v>No</v>
      </c>
      <c r="X6" s="31" t="str" cm="1">
        <f t="array" ref="X6">_xlfn.XLOOKUP($A6,DataColumnRange,_xlfn.XLOOKUP(X$1,dataRowRange,ActualDataRange))</f>
        <v>No</v>
      </c>
      <c r="Y6" s="31" cm="1">
        <f t="array" ref="Y6">_xlfn.XLOOKUP($A6,DataColumnRange,_xlfn.XLOOKUP(Y$1,dataRowRange,ActualDataRange))</f>
        <v>2</v>
      </c>
      <c r="Z6" s="31" t="str" cm="1">
        <f t="array" ref="Z6">_xlfn.XLOOKUP($A6,DataColumnRange,_xlfn.XLOOKUP(Z$1,dataRowRange,ActualDataRange))</f>
        <v>No</v>
      </c>
      <c r="AA6" s="31" t="str" cm="1">
        <f t="array" ref="AA6">_xlfn.XLOOKUP($A6,DataColumnRange,_xlfn.XLOOKUP(AA$1,dataRowRange,ActualDataRange))</f>
        <v>NA</v>
      </c>
      <c r="AB6" s="31" t="str" cm="1">
        <f t="array" ref="AB6">_xlfn.XLOOKUP($A6,DataColumnRange,_xlfn.XLOOKUP(AB$1,dataRowRange,ActualDataRange))</f>
        <v>000260018</v>
      </c>
      <c r="AC6" s="31" t="str" cm="1">
        <f t="array" ref="AC6">_xlfn.XLOOKUP($A6,DataColumnRange,_xlfn.XLOOKUP(AC$1,dataRowRange,ActualDataRange))</f>
        <v>GeneralCargoTemplate</v>
      </c>
      <c r="AD6" s="31" t="str" cm="1">
        <f t="array" ref="AD6">_xlfn.XLOOKUP($A6,DataColumnRange,_xlfn.XLOOKUP(AD$1,dataRowRange,ActualDataRange))</f>
        <v>CreditCard</v>
      </c>
      <c r="AE6" s="31" t="str" cm="1">
        <f t="array" ref="AE6">_xlfn.XLOOKUP($A6,DataColumnRange,_xlfn.XLOOKUP(AE$1,dataRowRange,ActualDataRange))</f>
        <v>NA</v>
      </c>
      <c r="AF6" s="31" t="str" cm="1">
        <f t="array" ref="AF6">_xlfn.XLOOKUP($A6,DataColumnRange,_xlfn.XLOOKUP(AF$1,dataRowRange,ActualDataRange))</f>
        <v>Test1</v>
      </c>
      <c r="AG6" s="31" t="str" cm="1">
        <f t="array" ref="AG6">_xlfn.XLOOKUP($A6,DataColumnRange,_xlfn.XLOOKUP(AG$1,dataRowRange,ActualDataRange))</f>
        <v>Test2</v>
      </c>
      <c r="AH6" s="31" t="str" cm="1">
        <f t="array" ref="AH6">_xlfn.XLOOKUP($A6,DataColumnRange,_xlfn.XLOOKUP(AH$1,dataRowRange,ActualDataRange))</f>
        <v>Atlanta</v>
      </c>
      <c r="AI6" s="31" t="str" cm="1">
        <f t="array" ref="AI6">_xlfn.XLOOKUP($A6,DataColumnRange,_xlfn.XLOOKUP(AI$1,dataRowRange,ActualDataRange))</f>
        <v>Georgia</v>
      </c>
      <c r="AJ6" s="31" cm="1">
        <f t="array" ref="AJ6">_xlfn.XLOOKUP($A6,DataColumnRange,_xlfn.XLOOKUP(AJ$1,dataRowRange,ActualDataRange))</f>
        <v>55055</v>
      </c>
      <c r="AK6" s="31" t="str" cm="1">
        <f t="array" ref="AK6">_xlfn.XLOOKUP($A6,DataColumnRange,_xlfn.XLOOKUP(AK$1,dataRowRange,ActualDataRange))</f>
        <v>171276181</v>
      </c>
      <c r="AL6" s="31" t="str" cm="1">
        <f t="array" ref="AL6">_xlfn.XLOOKUP($A6,DataColumnRange,_xlfn.XLOOKUP(AL$1,dataRowRange,ActualDataRange))</f>
        <v>International</v>
      </c>
      <c r="AM6" s="31" cm="1">
        <f t="array" ref="AM6">_xlfn.XLOOKUP($A6,DataColumnRange,_xlfn.XLOOKUP(AM$1,dataRowRange,ActualDataRange))</f>
        <v>0</v>
      </c>
      <c r="AN6" s="31" cm="1">
        <f t="array" ref="AN6">_xlfn.XLOOKUP($A6,DataColumnRange,_xlfn.XLOOKUP(AN$1,dataRowRange,ActualDataRange))</f>
        <v>6</v>
      </c>
    </row>
    <row r="7" spans="1:40" ht="17" thickBot="1">
      <c r="A7" s="64" t="s">
        <v>335</v>
      </c>
      <c r="B7" s="43" t="s">
        <v>233</v>
      </c>
      <c r="C7" s="32" t="s">
        <v>35</v>
      </c>
      <c r="D7" s="40" t="str">
        <f>IF(TestCaseConfig!$B$2="Yes","Yes","No")</f>
        <v>Yes</v>
      </c>
      <c r="E7" s="31" t="str" cm="1">
        <f t="array" ref="E7">_xlfn.XLOOKUP($A7,DataColumnRange,_xlfn.XLOOKUP(E$1,dataRowRange,ActualDataRange))</f>
        <v>CRITICAL HEAVY</v>
      </c>
      <c r="F7" s="31" t="str" cm="1">
        <f t="array" ref="F7">_xlfn.XLOOKUP($A7,DataColumnRange,_xlfn.XLOOKUP(F$1,dataRowRange,ActualDataRange))</f>
        <v>sumit.choudhary@delta.com</v>
      </c>
      <c r="G7" s="31" t="str" cm="1">
        <f t="array" ref="G7">_xlfn.XLOOKUP($A7,DataColumnRange,_xlfn.XLOOKUP(G$1,dataRowRange,ActualDataRange))</f>
        <v>Delta2</v>
      </c>
      <c r="H7" s="31" t="b" cm="1">
        <f t="array" ref="H7">_xlfn.XLOOKUP($A7,DataColumnRange,_xlfn.XLOOKUP(H$1,dataRowRange,ActualDataRange))</f>
        <v>1</v>
      </c>
      <c r="I7" s="31" t="str" cm="1">
        <f t="array" ref="I7">_xlfn.XLOOKUP($A7,DataColumnRange,_xlfn.XLOOKUP(I$1,dataRowRange,ActualDataRange))</f>
        <v>NA</v>
      </c>
      <c r="J7" s="31" t="str" cm="1">
        <f t="array" ref="J7">_xlfn.XLOOKUP($A7,DataColumnRange,_xlfn.XLOOKUP(J$1,dataRowRange,ActualDataRange))</f>
        <v>ATL</v>
      </c>
      <c r="K7" s="31" t="str" cm="1">
        <f t="array" ref="K7">_xlfn.XLOOKUP($A7,DataColumnRange,_xlfn.XLOOKUP(K$1,dataRowRange,ActualDataRange))</f>
        <v>LHR</v>
      </c>
      <c r="L7" s="31" t="str" cm="1">
        <f t="array" ref="L7">_xlfn.XLOOKUP($A7,DataColumnRange,_xlfn.XLOOKUP(L$1,dataRowRange,ActualDataRange))</f>
        <v>NA</v>
      </c>
      <c r="M7" s="31" t="str" cm="1">
        <f t="array" ref="M7">_xlfn.XLOOKUP($A7,DataColumnRange,_xlfn.XLOOKUP(M$1,dataRowRange,ActualDataRange))</f>
        <v>Test Parcels</v>
      </c>
      <c r="N7" s="31" cm="1">
        <f t="array" ref="N7">_xlfn.XLOOKUP($A7,DataColumnRange,_xlfn.XLOOKUP(N$1,dataRowRange,ActualDataRange))</f>
        <v>100</v>
      </c>
      <c r="O7" s="31" t="str" cm="1">
        <f t="array" ref="O7">_xlfn.XLOOKUP($A7,DataColumnRange,_xlfn.XLOOKUP(O$1,dataRowRange,ActualDataRange))</f>
        <v>LB</v>
      </c>
      <c r="P7" s="31" cm="1">
        <f t="array" ref="P7">_xlfn.XLOOKUP($A7,DataColumnRange,_xlfn.XLOOKUP(P$1,dataRowRange,ActualDataRange))</f>
        <v>1</v>
      </c>
      <c r="Q7" s="31" cm="1">
        <f t="array" ref="Q7">_xlfn.XLOOKUP($A7,DataColumnRange,_xlfn.XLOOKUP(Q$1,dataRowRange,ActualDataRange))</f>
        <v>10</v>
      </c>
      <c r="R7" s="31" cm="1">
        <f t="array" ref="R7">_xlfn.XLOOKUP($A7,DataColumnRange,_xlfn.XLOOKUP(R$1,dataRowRange,ActualDataRange))</f>
        <v>10</v>
      </c>
      <c r="S7" s="31" cm="1">
        <f t="array" ref="S7">_xlfn.XLOOKUP($A7,DataColumnRange,_xlfn.XLOOKUP(S$1,dataRowRange,ActualDataRange))</f>
        <v>10</v>
      </c>
      <c r="T7" s="31" t="str" cm="1">
        <f t="array" ref="T7">_xlfn.XLOOKUP($A7,DataColumnRange,_xlfn.XLOOKUP(T$1,dataRowRange,ActualDataRange))</f>
        <v>IN</v>
      </c>
      <c r="U7" s="31" t="str" cm="1">
        <f t="array" ref="U7">_xlfn.XLOOKUP($A7,DataColumnRange,_xlfn.XLOOKUP(U$1,dataRowRange,ActualDataRange))</f>
        <v>NA</v>
      </c>
      <c r="V7" s="31" t="str" cm="1">
        <f t="array" ref="V7">_xlfn.XLOOKUP($A7,DataColumnRange,_xlfn.XLOOKUP(V$1,dataRowRange,ActualDataRange))</f>
        <v>No</v>
      </c>
      <c r="W7" s="31" t="str" cm="1">
        <f t="array" ref="W7">_xlfn.XLOOKUP($A7,DataColumnRange,_xlfn.XLOOKUP(W$1,dataRowRange,ActualDataRange))</f>
        <v>No</v>
      </c>
      <c r="X7" s="31" t="str" cm="1">
        <f t="array" ref="X7">_xlfn.XLOOKUP($A7,DataColumnRange,_xlfn.XLOOKUP(X$1,dataRowRange,ActualDataRange))</f>
        <v>Yes</v>
      </c>
      <c r="Y7" s="31" cm="1">
        <f t="array" ref="Y7">_xlfn.XLOOKUP($A7,DataColumnRange,_xlfn.XLOOKUP(Y$1,dataRowRange,ActualDataRange))</f>
        <v>2</v>
      </c>
      <c r="Z7" s="31" t="str" cm="1">
        <f t="array" ref="Z7">_xlfn.XLOOKUP($A7,DataColumnRange,_xlfn.XLOOKUP(Z$1,dataRowRange,ActualDataRange))</f>
        <v>No</v>
      </c>
      <c r="AA7" s="31" t="str" cm="1">
        <f t="array" ref="AA7">_xlfn.XLOOKUP($A7,DataColumnRange,_xlfn.XLOOKUP(AA$1,dataRowRange,ActualDataRange))</f>
        <v>NA</v>
      </c>
      <c r="AB7" s="31" t="str" cm="1">
        <f t="array" ref="AB7">_xlfn.XLOOKUP($A7,DataColumnRange,_xlfn.XLOOKUP(AB$1,dataRowRange,ActualDataRange))</f>
        <v>000260018</v>
      </c>
      <c r="AC7" s="31" t="str" cm="1">
        <f t="array" ref="AC7">_xlfn.XLOOKUP($A7,DataColumnRange,_xlfn.XLOOKUP(AC$1,dataRowRange,ActualDataRange))</f>
        <v>GeneralCargoTemplate</v>
      </c>
      <c r="AD7" s="31" t="str" cm="1">
        <f t="array" ref="AD7">_xlfn.XLOOKUP($A7,DataColumnRange,_xlfn.XLOOKUP(AD$1,dataRowRange,ActualDataRange))</f>
        <v>CreditCard</v>
      </c>
      <c r="AE7" s="31" t="str" cm="1">
        <f t="array" ref="AE7">_xlfn.XLOOKUP($A7,DataColumnRange,_xlfn.XLOOKUP(AE$1,dataRowRange,ActualDataRange))</f>
        <v>NA</v>
      </c>
      <c r="AF7" s="31" t="str" cm="1">
        <f t="array" ref="AF7">_xlfn.XLOOKUP($A7,DataColumnRange,_xlfn.XLOOKUP(AF$1,dataRowRange,ActualDataRange))</f>
        <v>Test1</v>
      </c>
      <c r="AG7" s="31" t="str" cm="1">
        <f t="array" ref="AG7">_xlfn.XLOOKUP($A7,DataColumnRange,_xlfn.XLOOKUP(AG$1,dataRowRange,ActualDataRange))</f>
        <v>Test2</v>
      </c>
      <c r="AH7" s="31" t="str" cm="1">
        <f t="array" ref="AH7">_xlfn.XLOOKUP($A7,DataColumnRange,_xlfn.XLOOKUP(AH$1,dataRowRange,ActualDataRange))</f>
        <v>Atlanta</v>
      </c>
      <c r="AI7" s="31" t="str" cm="1">
        <f t="array" ref="AI7">_xlfn.XLOOKUP($A7,DataColumnRange,_xlfn.XLOOKUP(AI$1,dataRowRange,ActualDataRange))</f>
        <v>Georgia</v>
      </c>
      <c r="AJ7" s="31" cm="1">
        <f t="array" ref="AJ7">_xlfn.XLOOKUP($A7,DataColumnRange,_xlfn.XLOOKUP(AJ$1,dataRowRange,ActualDataRange))</f>
        <v>55055</v>
      </c>
      <c r="AK7" s="31" t="str" cm="1">
        <f t="array" ref="AK7">_xlfn.XLOOKUP($A7,DataColumnRange,_xlfn.XLOOKUP(AK$1,dataRowRange,ActualDataRange))</f>
        <v>171276181</v>
      </c>
      <c r="AL7" s="31" t="str" cm="1">
        <f t="array" ref="AL7">_xlfn.XLOOKUP($A7,DataColumnRange,_xlfn.XLOOKUP(AL$1,dataRowRange,ActualDataRange))</f>
        <v>International</v>
      </c>
      <c r="AM7" s="31" cm="1">
        <f t="array" ref="AM7">_xlfn.XLOOKUP($A7,DataColumnRange,_xlfn.XLOOKUP(AM$1,dataRowRange,ActualDataRange))</f>
        <v>0</v>
      </c>
      <c r="AN7" s="31" cm="1">
        <f t="array" ref="AN7">_xlfn.XLOOKUP($A7,DataColumnRange,_xlfn.XLOOKUP(AN$1,dataRowRange,ActualDataRange))</f>
        <v>7</v>
      </c>
    </row>
  </sheetData>
  <hyperlinks>
    <hyperlink ref="A1" location="TestCaseConfig!A1" display="Testcase" xr:uid="{D161C16B-1458-D04E-86DC-92DF0422975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BF01-6F2F-C544-96AC-B46CDE75B137}">
  <dimension ref="A1:AL13"/>
  <sheetViews>
    <sheetView workbookViewId="0">
      <selection activeCell="F2" sqref="F2"/>
    </sheetView>
  </sheetViews>
  <sheetFormatPr defaultColWidth="11" defaultRowHeight="15.5"/>
  <cols>
    <col min="1" max="1" width="89.25" bestFit="1" customWidth="1"/>
    <col min="2" max="2" width="16" bestFit="1" customWidth="1"/>
    <col min="3" max="3" width="23" bestFit="1" customWidth="1"/>
    <col min="4" max="4" width="8.83203125" bestFit="1" customWidth="1"/>
    <col min="5" max="5" width="23.58203125" bestFit="1" customWidth="1"/>
    <col min="6" max="6" width="13" bestFit="1" customWidth="1"/>
    <col min="7" max="7" width="14.25" bestFit="1" customWidth="1"/>
    <col min="8" max="8" width="19" bestFit="1" customWidth="1"/>
    <col min="9" max="9" width="13.75" bestFit="1" customWidth="1"/>
    <col min="10" max="10" width="18.33203125" bestFit="1" customWidth="1"/>
    <col min="11" max="11" width="18.08203125" bestFit="1" customWidth="1"/>
    <col min="12" max="12" width="18.25" bestFit="1" customWidth="1"/>
    <col min="13" max="13" width="14.58203125" bestFit="1" customWidth="1"/>
    <col min="14" max="14" width="19" bestFit="1" customWidth="1"/>
    <col min="15" max="15" width="16" bestFit="1" customWidth="1"/>
    <col min="16" max="16" width="14.33203125" bestFit="1" customWidth="1"/>
    <col min="17" max="17" width="13.83203125" bestFit="1" customWidth="1"/>
    <col min="18" max="18" width="14.08203125" bestFit="1" customWidth="1"/>
    <col min="19" max="19" width="12.08203125" bestFit="1" customWidth="1"/>
    <col min="20" max="20" width="18.75" bestFit="1" customWidth="1"/>
    <col min="21" max="21" width="25.08203125" bestFit="1" customWidth="1"/>
    <col min="22" max="22" width="37.08203125" bestFit="1" customWidth="1"/>
    <col min="23" max="23" width="21.25" bestFit="1" customWidth="1"/>
    <col min="24" max="24" width="20.08203125" bestFit="1" customWidth="1"/>
    <col min="25" max="25" width="28" bestFit="1" customWidth="1"/>
    <col min="26" max="26" width="13" bestFit="1" customWidth="1"/>
    <col min="27" max="27" width="32.25" bestFit="1" customWidth="1"/>
    <col min="28" max="28" width="21.58203125" bestFit="1" customWidth="1"/>
    <col min="29" max="29" width="22.83203125" bestFit="1" customWidth="1"/>
    <col min="30" max="30" width="13.33203125" bestFit="1" customWidth="1"/>
    <col min="31" max="32" width="8.25" bestFit="1" customWidth="1"/>
    <col min="33" max="33" width="6.25" bestFit="1" customWidth="1"/>
    <col min="34" max="34" width="6.58203125" bestFit="1" customWidth="1"/>
    <col min="35" max="35" width="5.75" bestFit="1" customWidth="1"/>
    <col min="36" max="36" width="14.33203125" bestFit="1" customWidth="1"/>
    <col min="37" max="37" width="11.5" bestFit="1" customWidth="1"/>
    <col min="38" max="38" width="4.75" bestFit="1" customWidth="1"/>
  </cols>
  <sheetData>
    <row r="1" spans="1:38" s="11" customFormat="1" ht="16" thickBot="1">
      <c r="A1" s="19" t="s">
        <v>118</v>
      </c>
      <c r="B1" s="20" t="s">
        <v>2</v>
      </c>
      <c r="C1" s="20" t="s">
        <v>24</v>
      </c>
      <c r="D1" s="20" t="s">
        <v>110</v>
      </c>
      <c r="E1" s="20" t="s">
        <v>122</v>
      </c>
      <c r="F1" s="20" t="s">
        <v>123</v>
      </c>
      <c r="G1" s="21" t="s">
        <v>101</v>
      </c>
      <c r="H1" s="20" t="s">
        <v>32</v>
      </c>
      <c r="I1" s="20" t="s">
        <v>140</v>
      </c>
      <c r="J1" s="20" t="s">
        <v>141</v>
      </c>
      <c r="K1" s="20" t="s">
        <v>211</v>
      </c>
      <c r="L1" s="27" t="s">
        <v>196</v>
      </c>
      <c r="M1" s="25" t="s">
        <v>146</v>
      </c>
      <c r="N1" s="20" t="s">
        <v>144</v>
      </c>
      <c r="O1" s="27" t="s">
        <v>150</v>
      </c>
      <c r="P1" s="20" t="s">
        <v>147</v>
      </c>
      <c r="Q1" s="20" t="s">
        <v>148</v>
      </c>
      <c r="R1" s="26" t="s">
        <v>149</v>
      </c>
      <c r="S1" s="20" t="s">
        <v>151</v>
      </c>
      <c r="T1" s="20" t="s">
        <v>5</v>
      </c>
      <c r="U1" s="20" t="s">
        <v>6</v>
      </c>
      <c r="V1" s="20" t="s">
        <v>7</v>
      </c>
      <c r="W1" s="20" t="s">
        <v>8</v>
      </c>
      <c r="X1" s="20" t="s">
        <v>10</v>
      </c>
      <c r="Y1" s="20" t="s">
        <v>56</v>
      </c>
      <c r="Z1" s="20" t="s">
        <v>59</v>
      </c>
      <c r="AA1" s="20" t="s">
        <v>11</v>
      </c>
      <c r="AB1" s="20" t="s">
        <v>12</v>
      </c>
      <c r="AC1" s="20" t="s">
        <v>13</v>
      </c>
      <c r="AD1" s="20" t="s">
        <v>40</v>
      </c>
      <c r="AE1" s="20" t="s">
        <v>153</v>
      </c>
      <c r="AF1" s="20" t="s">
        <v>154</v>
      </c>
      <c r="AG1" s="20" t="s">
        <v>155</v>
      </c>
      <c r="AH1" s="20" t="s">
        <v>156</v>
      </c>
      <c r="AI1" s="25" t="s">
        <v>157</v>
      </c>
      <c r="AJ1" s="20" t="s">
        <v>102</v>
      </c>
      <c r="AK1" s="20" t="s">
        <v>207</v>
      </c>
      <c r="AL1" s="20" t="s">
        <v>73</v>
      </c>
    </row>
    <row r="2" spans="1:38" ht="17" thickBot="1">
      <c r="A2" s="68" t="s">
        <v>311</v>
      </c>
      <c r="B2" s="42" t="s">
        <v>309</v>
      </c>
      <c r="C2" s="32" t="s">
        <v>216</v>
      </c>
      <c r="D2" s="40" t="str">
        <f>IF(TestCaseConfig!$B$2="Yes","Yes","No")</f>
        <v>Yes</v>
      </c>
      <c r="E2" s="31" t="str" cm="1">
        <f t="array" ref="E2">_xlfn.XLOOKUP($A2,DataColumnRange,_xlfn.XLOOKUP(E$1,dataRowRange,ActualDataRange))</f>
        <v>sumit.choudhary@delta.com</v>
      </c>
      <c r="F2" s="31" t="str" cm="1">
        <f t="array" ref="F2">_xlfn.XLOOKUP($A2,DataColumnRange,_xlfn.XLOOKUP(F$1,dataRowRange,ActualDataRange))</f>
        <v>Delta2</v>
      </c>
      <c r="G2" s="31" t="b" cm="1">
        <f t="array" ref="G2">_xlfn.XLOOKUP($A2,DataColumnRange,_xlfn.XLOOKUP(G$1,dataRowRange,ActualDataRange))</f>
        <v>1</v>
      </c>
      <c r="H2" s="31" t="str" cm="1">
        <f t="array" ref="H2">_xlfn.XLOOKUP($A2,DataColumnRange,_xlfn.XLOOKUP(H$1,dataRowRange,ActualDataRange))</f>
        <v>NA</v>
      </c>
      <c r="I2" s="31" t="str" cm="1">
        <f t="array" ref="I2">_xlfn.XLOOKUP($A2,DataColumnRange,_xlfn.XLOOKUP(I$1,dataRowRange,ActualDataRange))</f>
        <v>ATL</v>
      </c>
      <c r="J2" s="31" t="str" cm="1">
        <f t="array" ref="J2">_xlfn.XLOOKUP($A2,DataColumnRange,_xlfn.XLOOKUP(J$1,dataRowRange,ActualDataRange))</f>
        <v>MSP</v>
      </c>
      <c r="K2" s="31" t="str" cm="1">
        <f t="array" ref="K2">_xlfn.XLOOKUP($A2,DataColumnRange,_xlfn.XLOOKUP(K$1,dataRowRange,ActualDataRange))</f>
        <v>Bird</v>
      </c>
      <c r="L2" s="31" t="str" cm="1">
        <f t="array" ref="L2">_xlfn.XLOOKUP($A2,DataColumnRange,_xlfn.XLOOKUP(L$1,dataRowRange,ActualDataRange))</f>
        <v>Test Pet and Live</v>
      </c>
      <c r="M2" s="31" cm="1">
        <f t="array" ref="M2">_xlfn.XLOOKUP($A2,DataColumnRange,_xlfn.XLOOKUP(M$1,dataRowRange,ActualDataRange))</f>
        <v>10</v>
      </c>
      <c r="N2" s="31" t="str" cm="1">
        <f t="array" ref="N2">_xlfn.XLOOKUP($A2,DataColumnRange,_xlfn.XLOOKUP(N$1,dataRowRange,ActualDataRange))</f>
        <v>KG</v>
      </c>
      <c r="O2" s="31" cm="1">
        <f t="array" ref="O2">_xlfn.XLOOKUP($A2,DataColumnRange,_xlfn.XLOOKUP(O$1,dataRowRange,ActualDataRange))</f>
        <v>1</v>
      </c>
      <c r="P2" s="31" cm="1">
        <f t="array" ref="P2">_xlfn.XLOOKUP($A2,DataColumnRange,_xlfn.XLOOKUP(P$1,dataRowRange,ActualDataRange))</f>
        <v>10</v>
      </c>
      <c r="Q2" s="31" cm="1">
        <f t="array" ref="Q2">_xlfn.XLOOKUP($A2,DataColumnRange,_xlfn.XLOOKUP(Q$1,dataRowRange,ActualDataRange))</f>
        <v>10</v>
      </c>
      <c r="R2" s="31" cm="1">
        <f t="array" ref="R2">_xlfn.XLOOKUP($A2,DataColumnRange,_xlfn.XLOOKUP(R$1,dataRowRange,ActualDataRange))</f>
        <v>10</v>
      </c>
      <c r="S2" s="31" t="str" cm="1">
        <f t="array" ref="S2">_xlfn.XLOOKUP($A2,DataColumnRange,_xlfn.XLOOKUP(S$1,dataRowRange,ActualDataRange))</f>
        <v>CM</v>
      </c>
      <c r="T2" s="31" t="str" cm="1">
        <f t="array" ref="T2">_xlfn.XLOOKUP($A2,DataColumnRange,_xlfn.XLOOKUP(T$1,dataRowRange,ActualDataRange))</f>
        <v>Cubic Feet</v>
      </c>
      <c r="U2" s="31" t="str" cm="1">
        <f t="array" ref="U2">_xlfn.XLOOKUP($A2,DataColumnRange,_xlfn.XLOOKUP(U$1,dataRowRange,ActualDataRange))</f>
        <v>No</v>
      </c>
      <c r="V2" s="31" t="str" cm="1">
        <f t="array" ref="V2">_xlfn.XLOOKUP($A2,DataColumnRange,_xlfn.XLOOKUP(V$1,dataRowRange,ActualDataRange))</f>
        <v>No</v>
      </c>
      <c r="W2" s="31" t="str" cm="1">
        <f t="array" ref="W2">_xlfn.XLOOKUP($A2,DataColumnRange,_xlfn.XLOOKUP(W$1,dataRowRange,ActualDataRange))</f>
        <v>No</v>
      </c>
      <c r="X2" s="31" cm="1">
        <f t="array" ref="X2">_xlfn.XLOOKUP($A2,DataColumnRange,_xlfn.XLOOKUP(X$1,dataRowRange,ActualDataRange))</f>
        <v>2</v>
      </c>
      <c r="Y2" s="31" t="str" cm="1">
        <f t="array" ref="Y2">_xlfn.XLOOKUP($A2,DataColumnRange,_xlfn.XLOOKUP(Y$1,dataRowRange,ActualDataRange))</f>
        <v>No</v>
      </c>
      <c r="Z2" s="31" t="str" cm="1">
        <f t="array" ref="Z2">_xlfn.XLOOKUP($A2,DataColumnRange,_xlfn.XLOOKUP(Z$1,dataRowRange,ActualDataRange))</f>
        <v>NA</v>
      </c>
      <c r="AA2" s="31" t="str" cm="1">
        <f t="array" ref="AA2">_xlfn.XLOOKUP($A2,DataColumnRange,_xlfn.XLOOKUP(AA$1,dataRowRange,ActualDataRange))</f>
        <v>000260018</v>
      </c>
      <c r="AB2" s="31" t="str" cm="1">
        <f t="array" ref="AB2">_xlfn.XLOOKUP($A2,DataColumnRange,_xlfn.XLOOKUP(AB$1,dataRowRange,ActualDataRange))</f>
        <v>GeneralCargoTemplate</v>
      </c>
      <c r="AC2" s="31" t="str" cm="1">
        <f t="array" ref="AC2">_xlfn.XLOOKUP($A2,DataColumnRange,_xlfn.XLOOKUP(AC$1,dataRowRange,ActualDataRange))</f>
        <v>CreditCard</v>
      </c>
      <c r="AD2" s="31" t="str" cm="1">
        <f t="array" ref="AD2">_xlfn.XLOOKUP($A2,DataColumnRange,_xlfn.XLOOKUP(AD$1,dataRowRange,ActualDataRange))</f>
        <v>NA</v>
      </c>
      <c r="AE2" s="31" t="str" cm="1">
        <f t="array" ref="AE2">_xlfn.XLOOKUP($A2,DataColumnRange,_xlfn.XLOOKUP(AE$1,dataRowRange,ActualDataRange))</f>
        <v>Test1</v>
      </c>
      <c r="AF2" s="31" t="str" cm="1">
        <f t="array" ref="AF2">_xlfn.XLOOKUP($A2,DataColumnRange,_xlfn.XLOOKUP(AF$1,dataRowRange,ActualDataRange))</f>
        <v>Test2</v>
      </c>
      <c r="AG2" s="31" t="str" cm="1">
        <f t="array" ref="AG2">_xlfn.XLOOKUP($A2,DataColumnRange,_xlfn.XLOOKUP(AG$1,dataRowRange,ActualDataRange))</f>
        <v>Atlanta</v>
      </c>
      <c r="AH2" s="31" t="str" cm="1">
        <f t="array" ref="AH2">_xlfn.XLOOKUP($A2,DataColumnRange,_xlfn.XLOOKUP(AH$1,dataRowRange,ActualDataRange))</f>
        <v>Georgia</v>
      </c>
      <c r="AI2" s="31" cm="1">
        <f t="array" ref="AI2">_xlfn.XLOOKUP($A2,DataColumnRange,_xlfn.XLOOKUP(AI$1,dataRowRange,ActualDataRange))</f>
        <v>55055</v>
      </c>
      <c r="AJ2" s="31" t="str" cm="1">
        <f t="array" ref="AJ2">_xlfn.XLOOKUP($A2,DataColumnRange,_xlfn.XLOOKUP(AJ$1,dataRowRange,ActualDataRange))</f>
        <v>000075010</v>
      </c>
      <c r="AK2" s="31" t="str" cm="1">
        <f t="array" ref="AK2">_xlfn.XLOOKUP($A2,DataColumnRange,_xlfn.XLOOKUP(AK$1,dataRowRange,ActualDataRange))</f>
        <v>Domestic</v>
      </c>
      <c r="AL2" s="31" cm="1">
        <f t="array" ref="AL2">_xlfn.XLOOKUP($A2,DataColumnRange,_xlfn.XLOOKUP(AL$1,dataRowRange,ActualDataRange))</f>
        <v>0</v>
      </c>
    </row>
    <row r="3" spans="1:38" ht="17" thickBot="1">
      <c r="A3" s="69" t="s">
        <v>312</v>
      </c>
      <c r="B3" s="42" t="s">
        <v>309</v>
      </c>
      <c r="C3" s="32" t="s">
        <v>39</v>
      </c>
      <c r="D3" s="40" t="str">
        <f>IF(TestCaseConfig!$B$2="Yes","Yes","No")</f>
        <v>Yes</v>
      </c>
      <c r="E3" s="31" t="str" cm="1">
        <f t="array" ref="E3">_xlfn.XLOOKUP($A3,DataColumnRange,_xlfn.XLOOKUP(E$1,dataRowRange,ActualDataRange))</f>
        <v>sumit.choudhary@delta.com</v>
      </c>
      <c r="F3" s="31" t="str" cm="1">
        <f t="array" ref="F3">_xlfn.XLOOKUP($A3,DataColumnRange,_xlfn.XLOOKUP(F$1,dataRowRange,ActualDataRange))</f>
        <v>Delta2</v>
      </c>
      <c r="G3" s="31" t="b" cm="1">
        <f t="array" ref="G3">_xlfn.XLOOKUP($A3,DataColumnRange,_xlfn.XLOOKUP(G$1,dataRowRange,ActualDataRange))</f>
        <v>1</v>
      </c>
      <c r="H3" s="31" t="str" cm="1">
        <f t="array" ref="H3">_xlfn.XLOOKUP($A3,DataColumnRange,_xlfn.XLOOKUP(H$1,dataRowRange,ActualDataRange))</f>
        <v>NA</v>
      </c>
      <c r="I3" s="31" t="str" cm="1">
        <f t="array" ref="I3">_xlfn.XLOOKUP($A3,DataColumnRange,_xlfn.XLOOKUP(I$1,dataRowRange,ActualDataRange))</f>
        <v>ATL</v>
      </c>
      <c r="J3" s="31" t="str" cm="1">
        <f t="array" ref="J3">_xlfn.XLOOKUP($A3,DataColumnRange,_xlfn.XLOOKUP(J$1,dataRowRange,ActualDataRange))</f>
        <v>MSP</v>
      </c>
      <c r="K3" s="31" t="str" cm="1">
        <f t="array" ref="K3">_xlfn.XLOOKUP($A3,DataColumnRange,_xlfn.XLOOKUP(K$1,dataRowRange,ActualDataRange))</f>
        <v>Cat</v>
      </c>
      <c r="L3" s="31" t="str" cm="1">
        <f t="array" ref="L3">_xlfn.XLOOKUP($A3,DataColumnRange,_xlfn.XLOOKUP(L$1,dataRowRange,ActualDataRange))</f>
        <v>Test Pet and Live</v>
      </c>
      <c r="M3" s="31" cm="1">
        <f t="array" ref="M3">_xlfn.XLOOKUP($A3,DataColumnRange,_xlfn.XLOOKUP(M$1,dataRowRange,ActualDataRange))</f>
        <v>20</v>
      </c>
      <c r="N3" s="31" t="str" cm="1">
        <f t="array" ref="N3">_xlfn.XLOOKUP($A3,DataColumnRange,_xlfn.XLOOKUP(N$1,dataRowRange,ActualDataRange))</f>
        <v>LB</v>
      </c>
      <c r="O3" s="31" cm="1">
        <f t="array" ref="O3">_xlfn.XLOOKUP($A3,DataColumnRange,_xlfn.XLOOKUP(O$1,dataRowRange,ActualDataRange))</f>
        <v>1</v>
      </c>
      <c r="P3" s="31" cm="1">
        <f t="array" ref="P3">_xlfn.XLOOKUP($A3,DataColumnRange,_xlfn.XLOOKUP(P$1,dataRowRange,ActualDataRange))</f>
        <v>10</v>
      </c>
      <c r="Q3" s="31" cm="1">
        <f t="array" ref="Q3">_xlfn.XLOOKUP($A3,DataColumnRange,_xlfn.XLOOKUP(Q$1,dataRowRange,ActualDataRange))</f>
        <v>10</v>
      </c>
      <c r="R3" s="31" cm="1">
        <f t="array" ref="R3">_xlfn.XLOOKUP($A3,DataColumnRange,_xlfn.XLOOKUP(R$1,dataRowRange,ActualDataRange))</f>
        <v>10</v>
      </c>
      <c r="S3" s="31" t="str" cm="1">
        <f t="array" ref="S3">_xlfn.XLOOKUP($A3,DataColumnRange,_xlfn.XLOOKUP(S$1,dataRowRange,ActualDataRange))</f>
        <v>IN</v>
      </c>
      <c r="T3" s="31" t="str" cm="1">
        <f t="array" ref="T3">_xlfn.XLOOKUP($A3,DataColumnRange,_xlfn.XLOOKUP(T$1,dataRowRange,ActualDataRange))</f>
        <v>Cubic Feet</v>
      </c>
      <c r="U3" s="31" t="str" cm="1">
        <f t="array" ref="U3">_xlfn.XLOOKUP($A3,DataColumnRange,_xlfn.XLOOKUP(U$1,dataRowRange,ActualDataRange))</f>
        <v>Yes</v>
      </c>
      <c r="V3" s="31" t="str" cm="1">
        <f t="array" ref="V3">_xlfn.XLOOKUP($A3,DataColumnRange,_xlfn.XLOOKUP(V$1,dataRowRange,ActualDataRange))</f>
        <v>No</v>
      </c>
      <c r="W3" s="31" t="str" cm="1">
        <f t="array" ref="W3">_xlfn.XLOOKUP($A3,DataColumnRange,_xlfn.XLOOKUP(W$1,dataRowRange,ActualDataRange))</f>
        <v>Yes</v>
      </c>
      <c r="X3" s="31" cm="1">
        <f t="array" ref="X3">_xlfn.XLOOKUP($A3,DataColumnRange,_xlfn.XLOOKUP(X$1,dataRowRange,ActualDataRange))</f>
        <v>3</v>
      </c>
      <c r="Y3" s="31" t="str" cm="1">
        <f t="array" ref="Y3">_xlfn.XLOOKUP($A3,DataColumnRange,_xlfn.XLOOKUP(Y$1,dataRowRange,ActualDataRange))</f>
        <v>No</v>
      </c>
      <c r="Z3" s="31" t="str" cm="1">
        <f t="array" ref="Z3">_xlfn.XLOOKUP($A3,DataColumnRange,_xlfn.XLOOKUP(Z$1,dataRowRange,ActualDataRange))</f>
        <v>NA</v>
      </c>
      <c r="AA3" s="31" t="str" cm="1">
        <f t="array" ref="AA3">_xlfn.XLOOKUP($A3,DataColumnRange,_xlfn.XLOOKUP(AA$1,dataRowRange,ActualDataRange))</f>
        <v>000260018</v>
      </c>
      <c r="AB3" s="31" t="str" cm="1">
        <f t="array" ref="AB3">_xlfn.XLOOKUP($A3,DataColumnRange,_xlfn.XLOOKUP(AB$1,dataRowRange,ActualDataRange))</f>
        <v>GeneralCargoTemplate</v>
      </c>
      <c r="AC3" s="31" t="str" cm="1">
        <f t="array" ref="AC3">_xlfn.XLOOKUP($A3,DataColumnRange,_xlfn.XLOOKUP(AC$1,dataRowRange,ActualDataRange))</f>
        <v>CreditCard</v>
      </c>
      <c r="AD3" s="31" t="str" cm="1">
        <f t="array" ref="AD3">_xlfn.XLOOKUP($A3,DataColumnRange,_xlfn.XLOOKUP(AD$1,dataRowRange,ActualDataRange))</f>
        <v>NA</v>
      </c>
      <c r="AE3" s="31" t="str" cm="1">
        <f t="array" ref="AE3">_xlfn.XLOOKUP($A3,DataColumnRange,_xlfn.XLOOKUP(AE$1,dataRowRange,ActualDataRange))</f>
        <v>Test1</v>
      </c>
      <c r="AF3" s="31" t="str" cm="1">
        <f t="array" ref="AF3">_xlfn.XLOOKUP($A3,DataColumnRange,_xlfn.XLOOKUP(AF$1,dataRowRange,ActualDataRange))</f>
        <v>Test2</v>
      </c>
      <c r="AG3" s="31" t="str" cm="1">
        <f t="array" ref="AG3">_xlfn.XLOOKUP($A3,DataColumnRange,_xlfn.XLOOKUP(AG$1,dataRowRange,ActualDataRange))</f>
        <v>Atlanta</v>
      </c>
      <c r="AH3" s="31" t="str" cm="1">
        <f t="array" ref="AH3">_xlfn.XLOOKUP($A3,DataColumnRange,_xlfn.XLOOKUP(AH$1,dataRowRange,ActualDataRange))</f>
        <v>Georgia</v>
      </c>
      <c r="AI3" s="31" cm="1">
        <f t="array" ref="AI3">_xlfn.XLOOKUP($A3,DataColumnRange,_xlfn.XLOOKUP(AI$1,dataRowRange,ActualDataRange))</f>
        <v>55055</v>
      </c>
      <c r="AJ3" s="31" t="str" cm="1">
        <f t="array" ref="AJ3">_xlfn.XLOOKUP($A3,DataColumnRange,_xlfn.XLOOKUP(AJ$1,dataRowRange,ActualDataRange))</f>
        <v>000075010</v>
      </c>
      <c r="AK3" s="31" t="str" cm="1">
        <f t="array" ref="AK3">_xlfn.XLOOKUP($A3,DataColumnRange,_xlfn.XLOOKUP(AK$1,dataRowRange,ActualDataRange))</f>
        <v>Domestic</v>
      </c>
      <c r="AL3" s="31" cm="1">
        <f t="array" ref="AL3">_xlfn.XLOOKUP($A3,DataColumnRange,_xlfn.XLOOKUP(AL$1,dataRowRange,ActualDataRange))</f>
        <v>0</v>
      </c>
    </row>
    <row r="4" spans="1:38" ht="17" thickBot="1">
      <c r="A4" s="69" t="s">
        <v>313</v>
      </c>
      <c r="B4" s="42" t="s">
        <v>309</v>
      </c>
      <c r="C4" s="32" t="s">
        <v>225</v>
      </c>
      <c r="D4" s="40" t="str">
        <f>IF(TestCaseConfig!$B$2="Yes","Yes","No")</f>
        <v>Yes</v>
      </c>
      <c r="E4" s="31" t="str" cm="1">
        <f t="array" ref="E4">_xlfn.XLOOKUP($A4,DataColumnRange,_xlfn.XLOOKUP(E$1,dataRowRange,ActualDataRange))</f>
        <v>sumit.choudhary@delta.com</v>
      </c>
      <c r="F4" s="31" t="str" cm="1">
        <f t="array" ref="F4">_xlfn.XLOOKUP($A4,DataColumnRange,_xlfn.XLOOKUP(F$1,dataRowRange,ActualDataRange))</f>
        <v>Delta2</v>
      </c>
      <c r="G4" s="31" t="b" cm="1">
        <f t="array" ref="G4">_xlfn.XLOOKUP($A4,DataColumnRange,_xlfn.XLOOKUP(G$1,dataRowRange,ActualDataRange))</f>
        <v>1</v>
      </c>
      <c r="H4" s="31" t="str" cm="1">
        <f t="array" ref="H4">_xlfn.XLOOKUP($A4,DataColumnRange,_xlfn.XLOOKUP(H$1,dataRowRange,ActualDataRange))</f>
        <v>NA</v>
      </c>
      <c r="I4" s="31" t="str" cm="1">
        <f t="array" ref="I4">_xlfn.XLOOKUP($A4,DataColumnRange,_xlfn.XLOOKUP(I$1,dataRowRange,ActualDataRange))</f>
        <v>ATL</v>
      </c>
      <c r="J4" s="31" t="str" cm="1">
        <f t="array" ref="J4">_xlfn.XLOOKUP($A4,DataColumnRange,_xlfn.XLOOKUP(J$1,dataRowRange,ActualDataRange))</f>
        <v>MSP</v>
      </c>
      <c r="K4" s="31" t="str" cm="1">
        <f t="array" ref="K4">_xlfn.XLOOKUP($A4,DataColumnRange,_xlfn.XLOOKUP(K$1,dataRowRange,ActualDataRange))</f>
        <v>Cold Blooded Animal</v>
      </c>
      <c r="L4" s="31" t="str" cm="1">
        <f t="array" ref="L4">_xlfn.XLOOKUP($A4,DataColumnRange,_xlfn.XLOOKUP(L$1,dataRowRange,ActualDataRange))</f>
        <v>Test Pet and Live</v>
      </c>
      <c r="M4" s="31" cm="1">
        <f t="array" ref="M4">_xlfn.XLOOKUP($A4,DataColumnRange,_xlfn.XLOOKUP(M$1,dataRowRange,ActualDataRange))</f>
        <v>30</v>
      </c>
      <c r="N4" s="31" t="str" cm="1">
        <f t="array" ref="N4">_xlfn.XLOOKUP($A4,DataColumnRange,_xlfn.XLOOKUP(N$1,dataRowRange,ActualDataRange))</f>
        <v>KG</v>
      </c>
      <c r="O4" s="31" cm="1">
        <f t="array" ref="O4">_xlfn.XLOOKUP($A4,DataColumnRange,_xlfn.XLOOKUP(O$1,dataRowRange,ActualDataRange))</f>
        <v>1</v>
      </c>
      <c r="P4" s="31" cm="1">
        <f t="array" ref="P4">_xlfn.XLOOKUP($A4,DataColumnRange,_xlfn.XLOOKUP(P$1,dataRowRange,ActualDataRange))</f>
        <v>10</v>
      </c>
      <c r="Q4" s="31" cm="1">
        <f t="array" ref="Q4">_xlfn.XLOOKUP($A4,DataColumnRange,_xlfn.XLOOKUP(Q$1,dataRowRange,ActualDataRange))</f>
        <v>10</v>
      </c>
      <c r="R4" s="31" cm="1">
        <f t="array" ref="R4">_xlfn.XLOOKUP($A4,DataColumnRange,_xlfn.XLOOKUP(R$1,dataRowRange,ActualDataRange))</f>
        <v>10</v>
      </c>
      <c r="S4" s="31" t="str" cm="1">
        <f t="array" ref="S4">_xlfn.XLOOKUP($A4,DataColumnRange,_xlfn.XLOOKUP(S$1,dataRowRange,ActualDataRange))</f>
        <v>CM</v>
      </c>
      <c r="T4" s="31" t="str" cm="1">
        <f t="array" ref="T4">_xlfn.XLOOKUP($A4,DataColumnRange,_xlfn.XLOOKUP(T$1,dataRowRange,ActualDataRange))</f>
        <v>Cubic Feet</v>
      </c>
      <c r="U4" s="31" t="str" cm="1">
        <f t="array" ref="U4">_xlfn.XLOOKUP($A4,DataColumnRange,_xlfn.XLOOKUP(U$1,dataRowRange,ActualDataRange))</f>
        <v>No</v>
      </c>
      <c r="V4" s="31" t="str" cm="1">
        <f t="array" ref="V4">_xlfn.XLOOKUP($A4,DataColumnRange,_xlfn.XLOOKUP(V$1,dataRowRange,ActualDataRange))</f>
        <v>No</v>
      </c>
      <c r="W4" s="31" t="str" cm="1">
        <f t="array" ref="W4">_xlfn.XLOOKUP($A4,DataColumnRange,_xlfn.XLOOKUP(W$1,dataRowRange,ActualDataRange))</f>
        <v>No</v>
      </c>
      <c r="X4" s="31" cm="1">
        <f t="array" ref="X4">_xlfn.XLOOKUP($A4,DataColumnRange,_xlfn.XLOOKUP(X$1,dataRowRange,ActualDataRange))</f>
        <v>4</v>
      </c>
      <c r="Y4" s="31" t="str" cm="1">
        <f t="array" ref="Y4">_xlfn.XLOOKUP($A4,DataColumnRange,_xlfn.XLOOKUP(Y$1,dataRowRange,ActualDataRange))</f>
        <v>No</v>
      </c>
      <c r="Z4" s="31" t="str" cm="1">
        <f t="array" ref="Z4">_xlfn.XLOOKUP($A4,DataColumnRange,_xlfn.XLOOKUP(Z$1,dataRowRange,ActualDataRange))</f>
        <v>NA</v>
      </c>
      <c r="AA4" s="31" t="str" cm="1">
        <f t="array" ref="AA4">_xlfn.XLOOKUP($A4,DataColumnRange,_xlfn.XLOOKUP(AA$1,dataRowRange,ActualDataRange))</f>
        <v>000260018</v>
      </c>
      <c r="AB4" s="31" t="str" cm="1">
        <f t="array" ref="AB4">_xlfn.XLOOKUP($A4,DataColumnRange,_xlfn.XLOOKUP(AB$1,dataRowRange,ActualDataRange))</f>
        <v>GeneralCargoTemplate</v>
      </c>
      <c r="AC4" s="31" t="str" cm="1">
        <f t="array" ref="AC4">_xlfn.XLOOKUP($A4,DataColumnRange,_xlfn.XLOOKUP(AC$1,dataRowRange,ActualDataRange))</f>
        <v>CreditCard</v>
      </c>
      <c r="AD4" s="31" t="str" cm="1">
        <f t="array" ref="AD4">_xlfn.XLOOKUP($A4,DataColumnRange,_xlfn.XLOOKUP(AD$1,dataRowRange,ActualDataRange))</f>
        <v>NA</v>
      </c>
      <c r="AE4" s="31" t="str" cm="1">
        <f t="array" ref="AE4">_xlfn.XLOOKUP($A4,DataColumnRange,_xlfn.XLOOKUP(AE$1,dataRowRange,ActualDataRange))</f>
        <v>Test1</v>
      </c>
      <c r="AF4" s="31" t="str" cm="1">
        <f t="array" ref="AF4">_xlfn.XLOOKUP($A4,DataColumnRange,_xlfn.XLOOKUP(AF$1,dataRowRange,ActualDataRange))</f>
        <v>Test2</v>
      </c>
      <c r="AG4" s="31" t="str" cm="1">
        <f t="array" ref="AG4">_xlfn.XLOOKUP($A4,DataColumnRange,_xlfn.XLOOKUP(AG$1,dataRowRange,ActualDataRange))</f>
        <v>Atlanta</v>
      </c>
      <c r="AH4" s="31" t="str" cm="1">
        <f t="array" ref="AH4">_xlfn.XLOOKUP($A4,DataColumnRange,_xlfn.XLOOKUP(AH$1,dataRowRange,ActualDataRange))</f>
        <v>Georgia</v>
      </c>
      <c r="AI4" s="31" cm="1">
        <f t="array" ref="AI4">_xlfn.XLOOKUP($A4,DataColumnRange,_xlfn.XLOOKUP(AI$1,dataRowRange,ActualDataRange))</f>
        <v>55055</v>
      </c>
      <c r="AJ4" s="31" t="str" cm="1">
        <f t="array" ref="AJ4">_xlfn.XLOOKUP($A4,DataColumnRange,_xlfn.XLOOKUP(AJ$1,dataRowRange,ActualDataRange))</f>
        <v>000075010</v>
      </c>
      <c r="AK4" s="31" t="str" cm="1">
        <f t="array" ref="AK4">_xlfn.XLOOKUP($A4,DataColumnRange,_xlfn.XLOOKUP(AK$1,dataRowRange,ActualDataRange))</f>
        <v>Domestic</v>
      </c>
      <c r="AL4" s="31" cm="1">
        <f t="array" ref="AL4">_xlfn.XLOOKUP($A4,DataColumnRange,_xlfn.XLOOKUP(AL$1,dataRowRange,ActualDataRange))</f>
        <v>0</v>
      </c>
    </row>
    <row r="5" spans="1:38" ht="17" thickBot="1">
      <c r="A5" s="69" t="s">
        <v>314</v>
      </c>
      <c r="B5" s="42" t="s">
        <v>309</v>
      </c>
      <c r="C5" s="32" t="s">
        <v>226</v>
      </c>
      <c r="D5" s="40" t="str">
        <f>IF(TestCaseConfig!$B$2="Yes","Yes","No")</f>
        <v>Yes</v>
      </c>
      <c r="E5" s="31" t="str" cm="1">
        <f t="array" ref="E5">_xlfn.XLOOKUP($A5,DataColumnRange,_xlfn.XLOOKUP(E$1,dataRowRange,ActualDataRange))</f>
        <v>sumit.choudhary@delta.com</v>
      </c>
      <c r="F5" s="31" t="str" cm="1">
        <f t="array" ref="F5">_xlfn.XLOOKUP($A5,DataColumnRange,_xlfn.XLOOKUP(F$1,dataRowRange,ActualDataRange))</f>
        <v>Delta2</v>
      </c>
      <c r="G5" s="31" t="b" cm="1">
        <f t="array" ref="G5">_xlfn.XLOOKUP($A5,DataColumnRange,_xlfn.XLOOKUP(G$1,dataRowRange,ActualDataRange))</f>
        <v>1</v>
      </c>
      <c r="H5" s="31" t="str" cm="1">
        <f t="array" ref="H5">_xlfn.XLOOKUP($A5,DataColumnRange,_xlfn.XLOOKUP(H$1,dataRowRange,ActualDataRange))</f>
        <v>NA</v>
      </c>
      <c r="I5" s="31" t="str" cm="1">
        <f t="array" ref="I5">_xlfn.XLOOKUP($A5,DataColumnRange,_xlfn.XLOOKUP(I$1,dataRowRange,ActualDataRange))</f>
        <v>ATL</v>
      </c>
      <c r="J5" s="31" t="str" cm="1">
        <f t="array" ref="J5">_xlfn.XLOOKUP($A5,DataColumnRange,_xlfn.XLOOKUP(J$1,dataRowRange,ActualDataRange))</f>
        <v>MSP</v>
      </c>
      <c r="K5" s="31" t="str" cm="1">
        <f t="array" ref="K5">_xlfn.XLOOKUP($A5,DataColumnRange,_xlfn.XLOOKUP(K$1,dataRowRange,ActualDataRange))</f>
        <v>Dog</v>
      </c>
      <c r="L5" s="31" t="str" cm="1">
        <f t="array" ref="L5">_xlfn.XLOOKUP($A5,DataColumnRange,_xlfn.XLOOKUP(L$1,dataRowRange,ActualDataRange))</f>
        <v>Test Pet and Live</v>
      </c>
      <c r="M5" s="31" cm="1">
        <f t="array" ref="M5">_xlfn.XLOOKUP($A5,DataColumnRange,_xlfn.XLOOKUP(M$1,dataRowRange,ActualDataRange))</f>
        <v>40</v>
      </c>
      <c r="N5" s="31" t="str" cm="1">
        <f t="array" ref="N5">_xlfn.XLOOKUP($A5,DataColumnRange,_xlfn.XLOOKUP(N$1,dataRowRange,ActualDataRange))</f>
        <v>LB</v>
      </c>
      <c r="O5" s="31" cm="1">
        <f t="array" ref="O5">_xlfn.XLOOKUP($A5,DataColumnRange,_xlfn.XLOOKUP(O$1,dataRowRange,ActualDataRange))</f>
        <v>1</v>
      </c>
      <c r="P5" s="31" cm="1">
        <f t="array" ref="P5">_xlfn.XLOOKUP($A5,DataColumnRange,_xlfn.XLOOKUP(P$1,dataRowRange,ActualDataRange))</f>
        <v>10</v>
      </c>
      <c r="Q5" s="31" cm="1">
        <f t="array" ref="Q5">_xlfn.XLOOKUP($A5,DataColumnRange,_xlfn.XLOOKUP(Q$1,dataRowRange,ActualDataRange))</f>
        <v>10</v>
      </c>
      <c r="R5" s="31" cm="1">
        <f t="array" ref="R5">_xlfn.XLOOKUP($A5,DataColumnRange,_xlfn.XLOOKUP(R$1,dataRowRange,ActualDataRange))</f>
        <v>10</v>
      </c>
      <c r="S5" s="31" t="str" cm="1">
        <f t="array" ref="S5">_xlfn.XLOOKUP($A5,DataColumnRange,_xlfn.XLOOKUP(S$1,dataRowRange,ActualDataRange))</f>
        <v>IN</v>
      </c>
      <c r="T5" s="31" t="str" cm="1">
        <f t="array" ref="T5">_xlfn.XLOOKUP($A5,DataColumnRange,_xlfn.XLOOKUP(T$1,dataRowRange,ActualDataRange))</f>
        <v>Cubic Feet</v>
      </c>
      <c r="U5" s="31" t="str" cm="1">
        <f t="array" ref="U5">_xlfn.XLOOKUP($A5,DataColumnRange,_xlfn.XLOOKUP(U$1,dataRowRange,ActualDataRange))</f>
        <v>Yes</v>
      </c>
      <c r="V5" s="31" t="str" cm="1">
        <f t="array" ref="V5">_xlfn.XLOOKUP($A5,DataColumnRange,_xlfn.XLOOKUP(V$1,dataRowRange,ActualDataRange))</f>
        <v>No</v>
      </c>
      <c r="W5" s="31" t="str" cm="1">
        <f t="array" ref="W5">_xlfn.XLOOKUP($A5,DataColumnRange,_xlfn.XLOOKUP(W$1,dataRowRange,ActualDataRange))</f>
        <v>Yes</v>
      </c>
      <c r="X5" s="31" cm="1">
        <f t="array" ref="X5">_xlfn.XLOOKUP($A5,DataColumnRange,_xlfn.XLOOKUP(X$1,dataRowRange,ActualDataRange))</f>
        <v>5</v>
      </c>
      <c r="Y5" s="31" t="str" cm="1">
        <f t="array" ref="Y5">_xlfn.XLOOKUP($A5,DataColumnRange,_xlfn.XLOOKUP(Y$1,dataRowRange,ActualDataRange))</f>
        <v>No</v>
      </c>
      <c r="Z5" s="31" t="str" cm="1">
        <f t="array" ref="Z5">_xlfn.XLOOKUP($A5,DataColumnRange,_xlfn.XLOOKUP(Z$1,dataRowRange,ActualDataRange))</f>
        <v>NA</v>
      </c>
      <c r="AA5" s="31" t="str" cm="1">
        <f t="array" ref="AA5">_xlfn.XLOOKUP($A5,DataColumnRange,_xlfn.XLOOKUP(AA$1,dataRowRange,ActualDataRange))</f>
        <v>000260018</v>
      </c>
      <c r="AB5" s="31" t="str" cm="1">
        <f t="array" ref="AB5">_xlfn.XLOOKUP($A5,DataColumnRange,_xlfn.XLOOKUP(AB$1,dataRowRange,ActualDataRange))</f>
        <v>GeneralCargoTemplate</v>
      </c>
      <c r="AC5" s="31" t="str" cm="1">
        <f t="array" ref="AC5">_xlfn.XLOOKUP($A5,DataColumnRange,_xlfn.XLOOKUP(AC$1,dataRowRange,ActualDataRange))</f>
        <v>CreditCard</v>
      </c>
      <c r="AD5" s="31" t="str" cm="1">
        <f t="array" ref="AD5">_xlfn.XLOOKUP($A5,DataColumnRange,_xlfn.XLOOKUP(AD$1,dataRowRange,ActualDataRange))</f>
        <v>NA</v>
      </c>
      <c r="AE5" s="31" t="str" cm="1">
        <f t="array" ref="AE5">_xlfn.XLOOKUP($A5,DataColumnRange,_xlfn.XLOOKUP(AE$1,dataRowRange,ActualDataRange))</f>
        <v>Test1</v>
      </c>
      <c r="AF5" s="31" t="str" cm="1">
        <f t="array" ref="AF5">_xlfn.XLOOKUP($A5,DataColumnRange,_xlfn.XLOOKUP(AF$1,dataRowRange,ActualDataRange))</f>
        <v>Test2</v>
      </c>
      <c r="AG5" s="31" t="str" cm="1">
        <f t="array" ref="AG5">_xlfn.XLOOKUP($A5,DataColumnRange,_xlfn.XLOOKUP(AG$1,dataRowRange,ActualDataRange))</f>
        <v>Atlanta</v>
      </c>
      <c r="AH5" s="31" t="str" cm="1">
        <f t="array" ref="AH5">_xlfn.XLOOKUP($A5,DataColumnRange,_xlfn.XLOOKUP(AH$1,dataRowRange,ActualDataRange))</f>
        <v>Georgia</v>
      </c>
      <c r="AI5" s="31" cm="1">
        <f t="array" ref="AI5">_xlfn.XLOOKUP($A5,DataColumnRange,_xlfn.XLOOKUP(AI$1,dataRowRange,ActualDataRange))</f>
        <v>55055</v>
      </c>
      <c r="AJ5" s="31" t="str" cm="1">
        <f t="array" ref="AJ5">_xlfn.XLOOKUP($A5,DataColumnRange,_xlfn.XLOOKUP(AJ$1,dataRowRange,ActualDataRange))</f>
        <v>000075010</v>
      </c>
      <c r="AK5" s="31" t="str" cm="1">
        <f t="array" ref="AK5">_xlfn.XLOOKUP($A5,DataColumnRange,_xlfn.XLOOKUP(AK$1,dataRowRange,ActualDataRange))</f>
        <v>Domestic</v>
      </c>
      <c r="AL5" s="31" cm="1">
        <f t="array" ref="AL5">_xlfn.XLOOKUP($A5,DataColumnRange,_xlfn.XLOOKUP(AL$1,dataRowRange,ActualDataRange))</f>
        <v>0</v>
      </c>
    </row>
    <row r="6" spans="1:38" ht="17" thickBot="1">
      <c r="A6" s="69" t="s">
        <v>315</v>
      </c>
      <c r="B6" s="42" t="s">
        <v>309</v>
      </c>
      <c r="C6" s="32" t="s">
        <v>222</v>
      </c>
      <c r="D6" s="40" t="str">
        <f>IF(TestCaseConfig!$B$2="Yes","Yes","No")</f>
        <v>Yes</v>
      </c>
      <c r="E6" s="31" t="str" cm="1">
        <f t="array" ref="E6">_xlfn.XLOOKUP($A6,DataColumnRange,_xlfn.XLOOKUP(E$1,dataRowRange,ActualDataRange))</f>
        <v>sumit.choudhary@delta.com</v>
      </c>
      <c r="F6" s="31" t="str" cm="1">
        <f t="array" ref="F6">_xlfn.XLOOKUP($A6,DataColumnRange,_xlfn.XLOOKUP(F$1,dataRowRange,ActualDataRange))</f>
        <v>Delta2</v>
      </c>
      <c r="G6" s="31" t="b" cm="1">
        <f t="array" ref="G6">_xlfn.XLOOKUP($A6,DataColumnRange,_xlfn.XLOOKUP(G$1,dataRowRange,ActualDataRange))</f>
        <v>1</v>
      </c>
      <c r="H6" s="31" t="str" cm="1">
        <f t="array" ref="H6">_xlfn.XLOOKUP($A6,DataColumnRange,_xlfn.XLOOKUP(H$1,dataRowRange,ActualDataRange))</f>
        <v>NA</v>
      </c>
      <c r="I6" s="31" t="str" cm="1">
        <f t="array" ref="I6">_xlfn.XLOOKUP($A6,DataColumnRange,_xlfn.XLOOKUP(I$1,dataRowRange,ActualDataRange))</f>
        <v>ATL</v>
      </c>
      <c r="J6" s="31" t="str" cm="1">
        <f t="array" ref="J6">_xlfn.XLOOKUP($A6,DataColumnRange,_xlfn.XLOOKUP(J$1,dataRowRange,ActualDataRange))</f>
        <v>MSP</v>
      </c>
      <c r="K6" s="31" t="str" cm="1">
        <f t="array" ref="K6">_xlfn.XLOOKUP($A6,DataColumnRange,_xlfn.XLOOKUP(K$1,dataRowRange,ActualDataRange))</f>
        <v>Hatching Eggs</v>
      </c>
      <c r="L6" s="31" t="str" cm="1">
        <f t="array" ref="L6">_xlfn.XLOOKUP($A6,DataColumnRange,_xlfn.XLOOKUP(L$1,dataRowRange,ActualDataRange))</f>
        <v>Test Pet and Live</v>
      </c>
      <c r="M6" s="31" cm="1">
        <f t="array" ref="M6">_xlfn.XLOOKUP($A6,DataColumnRange,_xlfn.XLOOKUP(M$1,dataRowRange,ActualDataRange))</f>
        <v>10</v>
      </c>
      <c r="N6" s="31" t="str" cm="1">
        <f t="array" ref="N6">_xlfn.XLOOKUP($A6,DataColumnRange,_xlfn.XLOOKUP(N$1,dataRowRange,ActualDataRange))</f>
        <v>KG</v>
      </c>
      <c r="O6" s="31" cm="1">
        <f t="array" ref="O6">_xlfn.XLOOKUP($A6,DataColumnRange,_xlfn.XLOOKUP(O$1,dataRowRange,ActualDataRange))</f>
        <v>1</v>
      </c>
      <c r="P6" s="31" cm="1">
        <f t="array" ref="P6">_xlfn.XLOOKUP($A6,DataColumnRange,_xlfn.XLOOKUP(P$1,dataRowRange,ActualDataRange))</f>
        <v>10</v>
      </c>
      <c r="Q6" s="31" cm="1">
        <f t="array" ref="Q6">_xlfn.XLOOKUP($A6,DataColumnRange,_xlfn.XLOOKUP(Q$1,dataRowRange,ActualDataRange))</f>
        <v>10</v>
      </c>
      <c r="R6" s="31" cm="1">
        <f t="array" ref="R6">_xlfn.XLOOKUP($A6,DataColumnRange,_xlfn.XLOOKUP(R$1,dataRowRange,ActualDataRange))</f>
        <v>10</v>
      </c>
      <c r="S6" s="31" t="str" cm="1">
        <f t="array" ref="S6">_xlfn.XLOOKUP($A6,DataColumnRange,_xlfn.XLOOKUP(S$1,dataRowRange,ActualDataRange))</f>
        <v>CM</v>
      </c>
      <c r="T6" s="31" t="str" cm="1">
        <f t="array" ref="T6">_xlfn.XLOOKUP($A6,DataColumnRange,_xlfn.XLOOKUP(T$1,dataRowRange,ActualDataRange))</f>
        <v>Cubic Feet</v>
      </c>
      <c r="U6" s="31" t="str" cm="1">
        <f t="array" ref="U6">_xlfn.XLOOKUP($A6,DataColumnRange,_xlfn.XLOOKUP(U$1,dataRowRange,ActualDataRange))</f>
        <v>No</v>
      </c>
      <c r="V6" s="31" t="str" cm="1">
        <f t="array" ref="V6">_xlfn.XLOOKUP($A6,DataColumnRange,_xlfn.XLOOKUP(V$1,dataRowRange,ActualDataRange))</f>
        <v>No</v>
      </c>
      <c r="W6" s="31" t="str" cm="1">
        <f t="array" ref="W6">_xlfn.XLOOKUP($A6,DataColumnRange,_xlfn.XLOOKUP(W$1,dataRowRange,ActualDataRange))</f>
        <v>No</v>
      </c>
      <c r="X6" s="31" cm="1">
        <f t="array" ref="X6">_xlfn.XLOOKUP($A6,DataColumnRange,_xlfn.XLOOKUP(X$1,dataRowRange,ActualDataRange))</f>
        <v>6</v>
      </c>
      <c r="Y6" s="31" t="str" cm="1">
        <f t="array" ref="Y6">_xlfn.XLOOKUP($A6,DataColumnRange,_xlfn.XLOOKUP(Y$1,dataRowRange,ActualDataRange))</f>
        <v>No</v>
      </c>
      <c r="Z6" s="31" t="str" cm="1">
        <f t="array" ref="Z6">_xlfn.XLOOKUP($A6,DataColumnRange,_xlfn.XLOOKUP(Z$1,dataRowRange,ActualDataRange))</f>
        <v>NA</v>
      </c>
      <c r="AA6" s="31" t="str" cm="1">
        <f t="array" ref="AA6">_xlfn.XLOOKUP($A6,DataColumnRange,_xlfn.XLOOKUP(AA$1,dataRowRange,ActualDataRange))</f>
        <v>000260018</v>
      </c>
      <c r="AB6" s="31" t="str" cm="1">
        <f t="array" ref="AB6">_xlfn.XLOOKUP($A6,DataColumnRange,_xlfn.XLOOKUP(AB$1,dataRowRange,ActualDataRange))</f>
        <v>GeneralCargoTemplate</v>
      </c>
      <c r="AC6" s="31" t="str" cm="1">
        <f t="array" ref="AC6">_xlfn.XLOOKUP($A6,DataColumnRange,_xlfn.XLOOKUP(AC$1,dataRowRange,ActualDataRange))</f>
        <v>CreditCard</v>
      </c>
      <c r="AD6" s="31" t="str" cm="1">
        <f t="array" ref="AD6">_xlfn.XLOOKUP($A6,DataColumnRange,_xlfn.XLOOKUP(AD$1,dataRowRange,ActualDataRange))</f>
        <v>NA</v>
      </c>
      <c r="AE6" s="31" t="str" cm="1">
        <f t="array" ref="AE6">_xlfn.XLOOKUP($A6,DataColumnRange,_xlfn.XLOOKUP(AE$1,dataRowRange,ActualDataRange))</f>
        <v>Test1</v>
      </c>
      <c r="AF6" s="31" t="str" cm="1">
        <f t="array" ref="AF6">_xlfn.XLOOKUP($A6,DataColumnRange,_xlfn.XLOOKUP(AF$1,dataRowRange,ActualDataRange))</f>
        <v>Test2</v>
      </c>
      <c r="AG6" s="31" t="str" cm="1">
        <f t="array" ref="AG6">_xlfn.XLOOKUP($A6,DataColumnRange,_xlfn.XLOOKUP(AG$1,dataRowRange,ActualDataRange))</f>
        <v>Atlanta</v>
      </c>
      <c r="AH6" s="31" t="str" cm="1">
        <f t="array" ref="AH6">_xlfn.XLOOKUP($A6,DataColumnRange,_xlfn.XLOOKUP(AH$1,dataRowRange,ActualDataRange))</f>
        <v>Georgia</v>
      </c>
      <c r="AI6" s="31" cm="1">
        <f t="array" ref="AI6">_xlfn.XLOOKUP($A6,DataColumnRange,_xlfn.XLOOKUP(AI$1,dataRowRange,ActualDataRange))</f>
        <v>55055</v>
      </c>
      <c r="AJ6" s="31" t="str" cm="1">
        <f t="array" ref="AJ6">_xlfn.XLOOKUP($A6,DataColumnRange,_xlfn.XLOOKUP(AJ$1,dataRowRange,ActualDataRange))</f>
        <v>000075010</v>
      </c>
      <c r="AK6" s="31" t="str" cm="1">
        <f t="array" ref="AK6">_xlfn.XLOOKUP($A6,DataColumnRange,_xlfn.XLOOKUP(AK$1,dataRowRange,ActualDataRange))</f>
        <v>Domestic</v>
      </c>
      <c r="AL6" s="31" cm="1">
        <f t="array" ref="AL6">_xlfn.XLOOKUP($A6,DataColumnRange,_xlfn.XLOOKUP(AL$1,dataRowRange,ActualDataRange))</f>
        <v>0</v>
      </c>
    </row>
    <row r="7" spans="1:38" ht="17" thickBot="1">
      <c r="A7" s="69" t="s">
        <v>316</v>
      </c>
      <c r="B7" s="42" t="s">
        <v>309</v>
      </c>
      <c r="C7" s="32" t="s">
        <v>227</v>
      </c>
      <c r="D7" s="40" t="str">
        <f>IF(TestCaseConfig!$B$2="Yes","Yes","No")</f>
        <v>Yes</v>
      </c>
      <c r="E7" s="31" t="str" cm="1">
        <f t="array" ref="E7">_xlfn.XLOOKUP($A7,DataColumnRange,_xlfn.XLOOKUP(E$1,dataRowRange,ActualDataRange))</f>
        <v>sumit.choudhary@delta.com</v>
      </c>
      <c r="F7" s="31" t="str" cm="1">
        <f t="array" ref="F7">_xlfn.XLOOKUP($A7,DataColumnRange,_xlfn.XLOOKUP(F$1,dataRowRange,ActualDataRange))</f>
        <v>Delta2</v>
      </c>
      <c r="G7" s="31" t="b" cm="1">
        <f t="array" ref="G7">_xlfn.XLOOKUP($A7,DataColumnRange,_xlfn.XLOOKUP(G$1,dataRowRange,ActualDataRange))</f>
        <v>1</v>
      </c>
      <c r="H7" s="31" t="str" cm="1">
        <f t="array" ref="H7">_xlfn.XLOOKUP($A7,DataColumnRange,_xlfn.XLOOKUP(H$1,dataRowRange,ActualDataRange))</f>
        <v>NA</v>
      </c>
      <c r="I7" s="31" t="str" cm="1">
        <f t="array" ref="I7">_xlfn.XLOOKUP($A7,DataColumnRange,_xlfn.XLOOKUP(I$1,dataRowRange,ActualDataRange))</f>
        <v>ATL</v>
      </c>
      <c r="J7" s="31" t="str" cm="1">
        <f t="array" ref="J7">_xlfn.XLOOKUP($A7,DataColumnRange,_xlfn.XLOOKUP(J$1,dataRowRange,ActualDataRange))</f>
        <v>BWI</v>
      </c>
      <c r="K7" s="31" t="str" cm="1">
        <f t="array" ref="K7">_xlfn.XLOOKUP($A7,DataColumnRange,_xlfn.XLOOKUP(K$1,dataRowRange,ActualDataRange))</f>
        <v>Warm Blooded Animal</v>
      </c>
      <c r="L7" s="31" t="str" cm="1">
        <f t="array" ref="L7">_xlfn.XLOOKUP($A7,DataColumnRange,_xlfn.XLOOKUP(L$1,dataRowRange,ActualDataRange))</f>
        <v>Test Pet and Live</v>
      </c>
      <c r="M7" s="31" cm="1">
        <f t="array" ref="M7">_xlfn.XLOOKUP($A7,DataColumnRange,_xlfn.XLOOKUP(M$1,dataRowRange,ActualDataRange))</f>
        <v>40</v>
      </c>
      <c r="N7" s="31" t="str" cm="1">
        <f t="array" ref="N7">_xlfn.XLOOKUP($A7,DataColumnRange,_xlfn.XLOOKUP(N$1,dataRowRange,ActualDataRange))</f>
        <v>LB</v>
      </c>
      <c r="O7" s="31" cm="1">
        <f t="array" ref="O7">_xlfn.XLOOKUP($A7,DataColumnRange,_xlfn.XLOOKUP(O$1,dataRowRange,ActualDataRange))</f>
        <v>1</v>
      </c>
      <c r="P7" s="31" cm="1">
        <f t="array" ref="P7">_xlfn.XLOOKUP($A7,DataColumnRange,_xlfn.XLOOKUP(P$1,dataRowRange,ActualDataRange))</f>
        <v>10</v>
      </c>
      <c r="Q7" s="31" cm="1">
        <f t="array" ref="Q7">_xlfn.XLOOKUP($A7,DataColumnRange,_xlfn.XLOOKUP(Q$1,dataRowRange,ActualDataRange))</f>
        <v>10</v>
      </c>
      <c r="R7" s="31" cm="1">
        <f t="array" ref="R7">_xlfn.XLOOKUP($A7,DataColumnRange,_xlfn.XLOOKUP(R$1,dataRowRange,ActualDataRange))</f>
        <v>10</v>
      </c>
      <c r="S7" s="31" t="str" cm="1">
        <f t="array" ref="S7">_xlfn.XLOOKUP($A7,DataColumnRange,_xlfn.XLOOKUP(S$1,dataRowRange,ActualDataRange))</f>
        <v>IN</v>
      </c>
      <c r="T7" s="31" t="str" cm="1">
        <f t="array" ref="T7">_xlfn.XLOOKUP($A7,DataColumnRange,_xlfn.XLOOKUP(T$1,dataRowRange,ActualDataRange))</f>
        <v>Cubic Feet</v>
      </c>
      <c r="U7" s="31" t="str" cm="1">
        <f t="array" ref="U7">_xlfn.XLOOKUP($A7,DataColumnRange,_xlfn.XLOOKUP(U$1,dataRowRange,ActualDataRange))</f>
        <v>Yes</v>
      </c>
      <c r="V7" s="31" t="str" cm="1">
        <f t="array" ref="V7">_xlfn.XLOOKUP($A7,DataColumnRange,_xlfn.XLOOKUP(V$1,dataRowRange,ActualDataRange))</f>
        <v>No</v>
      </c>
      <c r="W7" s="31" t="str" cm="1">
        <f t="array" ref="W7">_xlfn.XLOOKUP($A7,DataColumnRange,_xlfn.XLOOKUP(W$1,dataRowRange,ActualDataRange))</f>
        <v>Yes</v>
      </c>
      <c r="X7" s="31" cm="1">
        <f t="array" ref="X7">_xlfn.XLOOKUP($A7,DataColumnRange,_xlfn.XLOOKUP(X$1,dataRowRange,ActualDataRange))</f>
        <v>7</v>
      </c>
      <c r="Y7" s="31" t="str" cm="1">
        <f t="array" ref="Y7">_xlfn.XLOOKUP($A7,DataColumnRange,_xlfn.XLOOKUP(Y$1,dataRowRange,ActualDataRange))</f>
        <v>No</v>
      </c>
      <c r="Z7" s="31" t="str" cm="1">
        <f t="array" ref="Z7">_xlfn.XLOOKUP($A7,DataColumnRange,_xlfn.XLOOKUP(Z$1,dataRowRange,ActualDataRange))</f>
        <v>NA</v>
      </c>
      <c r="AA7" s="31" t="str" cm="1">
        <f t="array" ref="AA7">_xlfn.XLOOKUP($A7,DataColumnRange,_xlfn.XLOOKUP(AA$1,dataRowRange,ActualDataRange))</f>
        <v>000260018</v>
      </c>
      <c r="AB7" s="31" t="str" cm="1">
        <f t="array" ref="AB7">_xlfn.XLOOKUP($A7,DataColumnRange,_xlfn.XLOOKUP(AB$1,dataRowRange,ActualDataRange))</f>
        <v>GeneralCargoTemplate</v>
      </c>
      <c r="AC7" s="31" t="str" cm="1">
        <f t="array" ref="AC7">_xlfn.XLOOKUP($A7,DataColumnRange,_xlfn.XLOOKUP(AC$1,dataRowRange,ActualDataRange))</f>
        <v>CreditCard</v>
      </c>
      <c r="AD7" s="31" t="str" cm="1">
        <f t="array" ref="AD7">_xlfn.XLOOKUP($A7,DataColumnRange,_xlfn.XLOOKUP(AD$1,dataRowRange,ActualDataRange))</f>
        <v>NA</v>
      </c>
      <c r="AE7" s="31" t="str" cm="1">
        <f t="array" ref="AE7">_xlfn.XLOOKUP($A7,DataColumnRange,_xlfn.XLOOKUP(AE$1,dataRowRange,ActualDataRange))</f>
        <v>Test1</v>
      </c>
      <c r="AF7" s="31" t="str" cm="1">
        <f t="array" ref="AF7">_xlfn.XLOOKUP($A7,DataColumnRange,_xlfn.XLOOKUP(AF$1,dataRowRange,ActualDataRange))</f>
        <v>Test2</v>
      </c>
      <c r="AG7" s="31" t="str" cm="1">
        <f t="array" ref="AG7">_xlfn.XLOOKUP($A7,DataColumnRange,_xlfn.XLOOKUP(AG$1,dataRowRange,ActualDataRange))</f>
        <v>Atlanta</v>
      </c>
      <c r="AH7" s="31" t="str" cm="1">
        <f t="array" ref="AH7">_xlfn.XLOOKUP($A7,DataColumnRange,_xlfn.XLOOKUP(AH$1,dataRowRange,ActualDataRange))</f>
        <v>Georgia</v>
      </c>
      <c r="AI7" s="31" cm="1">
        <f t="array" ref="AI7">_xlfn.XLOOKUP($A7,DataColumnRange,_xlfn.XLOOKUP(AI$1,dataRowRange,ActualDataRange))</f>
        <v>55055</v>
      </c>
      <c r="AJ7" s="31" t="str" cm="1">
        <f t="array" ref="AJ7">_xlfn.XLOOKUP($A7,DataColumnRange,_xlfn.XLOOKUP(AJ$1,dataRowRange,ActualDataRange))</f>
        <v>000075010</v>
      </c>
      <c r="AK7" s="31" t="str" cm="1">
        <f t="array" ref="AK7">_xlfn.XLOOKUP($A7,DataColumnRange,_xlfn.XLOOKUP(AK$1,dataRowRange,ActualDataRange))</f>
        <v>Domestic</v>
      </c>
      <c r="AL7" s="31" cm="1">
        <f t="array" ref="AL7">_xlfn.XLOOKUP($A7,DataColumnRange,_xlfn.XLOOKUP(AL$1,dataRowRange,ActualDataRange))</f>
        <v>0</v>
      </c>
    </row>
    <row r="8" spans="1:38" ht="17" thickBot="1">
      <c r="A8" s="69" t="s">
        <v>317</v>
      </c>
      <c r="B8" s="42" t="s">
        <v>309</v>
      </c>
      <c r="C8" s="32" t="s">
        <v>216</v>
      </c>
      <c r="D8" s="40" t="str">
        <f>IF(TestCaseConfig!$B$2="Yes","Yes","No")</f>
        <v>Yes</v>
      </c>
      <c r="E8" s="31" t="str" cm="1">
        <f t="array" ref="E8">_xlfn.XLOOKUP($A8,DataColumnRange,_xlfn.XLOOKUP(E$1,dataRowRange,ActualDataRange))</f>
        <v>sumit.choudhary@delta.com</v>
      </c>
      <c r="F8" s="31" t="str" cm="1">
        <f t="array" ref="F8">_xlfn.XLOOKUP($A8,DataColumnRange,_xlfn.XLOOKUP(F$1,dataRowRange,ActualDataRange))</f>
        <v>Delta2</v>
      </c>
      <c r="G8" s="31" t="b" cm="1">
        <f t="array" ref="G8">_xlfn.XLOOKUP($A8,DataColumnRange,_xlfn.XLOOKUP(G$1,dataRowRange,ActualDataRange))</f>
        <v>1</v>
      </c>
      <c r="H8" s="31" t="str" cm="1">
        <f t="array" ref="H8">_xlfn.XLOOKUP($A8,DataColumnRange,_xlfn.XLOOKUP(H$1,dataRowRange,ActualDataRange))</f>
        <v>NA</v>
      </c>
      <c r="I8" s="31" t="str" cm="1">
        <f t="array" ref="I8">_xlfn.XLOOKUP($A8,DataColumnRange,_xlfn.XLOOKUP(I$1,dataRowRange,ActualDataRange))</f>
        <v>ATL</v>
      </c>
      <c r="J8" s="31" t="str" cm="1">
        <f t="array" ref="J8">_xlfn.XLOOKUP($A8,DataColumnRange,_xlfn.XLOOKUP(J$1,dataRowRange,ActualDataRange))</f>
        <v>MSP</v>
      </c>
      <c r="K8" s="31" t="str" cm="1">
        <f t="array" ref="K8">_xlfn.XLOOKUP($A8,DataColumnRange,_xlfn.XLOOKUP(K$1,dataRowRange,ActualDataRange))</f>
        <v>Bird</v>
      </c>
      <c r="L8" s="31" t="str" cm="1">
        <f t="array" ref="L8">_xlfn.XLOOKUP($A8,DataColumnRange,_xlfn.XLOOKUP(L$1,dataRowRange,ActualDataRange))</f>
        <v>Test Pet and Live</v>
      </c>
      <c r="M8" s="31" cm="1">
        <f t="array" ref="M8">_xlfn.XLOOKUP($A8,DataColumnRange,_xlfn.XLOOKUP(M$1,dataRowRange,ActualDataRange))</f>
        <v>10</v>
      </c>
      <c r="N8" s="31" t="str" cm="1">
        <f t="array" ref="N8">_xlfn.XLOOKUP($A8,DataColumnRange,_xlfn.XLOOKUP(N$1,dataRowRange,ActualDataRange))</f>
        <v>KG</v>
      </c>
      <c r="O8" s="31" cm="1">
        <f t="array" ref="O8">_xlfn.XLOOKUP($A8,DataColumnRange,_xlfn.XLOOKUP(O$1,dataRowRange,ActualDataRange))</f>
        <v>1</v>
      </c>
      <c r="P8" s="31" cm="1">
        <f t="array" ref="P8">_xlfn.XLOOKUP($A8,DataColumnRange,_xlfn.XLOOKUP(P$1,dataRowRange,ActualDataRange))</f>
        <v>10</v>
      </c>
      <c r="Q8" s="31" cm="1">
        <f t="array" ref="Q8">_xlfn.XLOOKUP($A8,DataColumnRange,_xlfn.XLOOKUP(Q$1,dataRowRange,ActualDataRange))</f>
        <v>10</v>
      </c>
      <c r="R8" s="31" cm="1">
        <f t="array" ref="R8">_xlfn.XLOOKUP($A8,DataColumnRange,_xlfn.XLOOKUP(R$1,dataRowRange,ActualDataRange))</f>
        <v>10</v>
      </c>
      <c r="S8" s="31" t="str" cm="1">
        <f t="array" ref="S8">_xlfn.XLOOKUP($A8,DataColumnRange,_xlfn.XLOOKUP(S$1,dataRowRange,ActualDataRange))</f>
        <v>CM</v>
      </c>
      <c r="T8" s="31" t="str" cm="1">
        <f t="array" ref="T8">_xlfn.XLOOKUP($A8,DataColumnRange,_xlfn.XLOOKUP(T$1,dataRowRange,ActualDataRange))</f>
        <v>Cubic Feet</v>
      </c>
      <c r="U8" s="31" t="str" cm="1">
        <f t="array" ref="U8">_xlfn.XLOOKUP($A8,DataColumnRange,_xlfn.XLOOKUP(U$1,dataRowRange,ActualDataRange))</f>
        <v>No</v>
      </c>
      <c r="V8" s="31" t="str" cm="1">
        <f t="array" ref="V8">_xlfn.XLOOKUP($A8,DataColumnRange,_xlfn.XLOOKUP(V$1,dataRowRange,ActualDataRange))</f>
        <v>No</v>
      </c>
      <c r="W8" s="31" t="str" cm="1">
        <f t="array" ref="W8">_xlfn.XLOOKUP($A8,DataColumnRange,_xlfn.XLOOKUP(W$1,dataRowRange,ActualDataRange))</f>
        <v>No</v>
      </c>
      <c r="X8" s="31" cm="1">
        <f t="array" ref="X8">_xlfn.XLOOKUP($A8,DataColumnRange,_xlfn.XLOOKUP(X$1,dataRowRange,ActualDataRange))</f>
        <v>2</v>
      </c>
      <c r="Y8" s="31" t="str" cm="1">
        <f t="array" ref="Y8">_xlfn.XLOOKUP($A8,DataColumnRange,_xlfn.XLOOKUP(Y$1,dataRowRange,ActualDataRange))</f>
        <v>No</v>
      </c>
      <c r="Z8" s="31" t="str" cm="1">
        <f t="array" ref="Z8">_xlfn.XLOOKUP($A8,DataColumnRange,_xlfn.XLOOKUP(Z$1,dataRowRange,ActualDataRange))</f>
        <v>NA</v>
      </c>
      <c r="AA8" s="31" t="str" cm="1">
        <f t="array" ref="AA8">_xlfn.XLOOKUP($A8,DataColumnRange,_xlfn.XLOOKUP(AA$1,dataRowRange,ActualDataRange))</f>
        <v>000260018</v>
      </c>
      <c r="AB8" s="31" t="str" cm="1">
        <f t="array" ref="AB8">_xlfn.XLOOKUP($A8,DataColumnRange,_xlfn.XLOOKUP(AB$1,dataRowRange,ActualDataRange))</f>
        <v>GeneralCargoTemplate</v>
      </c>
      <c r="AC8" s="31" t="str" cm="1">
        <f t="array" ref="AC8">_xlfn.XLOOKUP($A8,DataColumnRange,_xlfn.XLOOKUP(AC$1,dataRowRange,ActualDataRange))</f>
        <v>CreditCard</v>
      </c>
      <c r="AD8" s="31" t="str" cm="1">
        <f t="array" ref="AD8">_xlfn.XLOOKUP($A8,DataColumnRange,_xlfn.XLOOKUP(AD$1,dataRowRange,ActualDataRange))</f>
        <v>NA</v>
      </c>
      <c r="AE8" s="31" t="str" cm="1">
        <f t="array" ref="AE8">_xlfn.XLOOKUP($A8,DataColumnRange,_xlfn.XLOOKUP(AE$1,dataRowRange,ActualDataRange))</f>
        <v>Test1</v>
      </c>
      <c r="AF8" s="31" t="str" cm="1">
        <f t="array" ref="AF8">_xlfn.XLOOKUP($A8,DataColumnRange,_xlfn.XLOOKUP(AF$1,dataRowRange,ActualDataRange))</f>
        <v>Test2</v>
      </c>
      <c r="AG8" s="31" t="str" cm="1">
        <f t="array" ref="AG8">_xlfn.XLOOKUP($A8,DataColumnRange,_xlfn.XLOOKUP(AG$1,dataRowRange,ActualDataRange))</f>
        <v>Atlanta</v>
      </c>
      <c r="AH8" s="31" t="str" cm="1">
        <f t="array" ref="AH8">_xlfn.XLOOKUP($A8,DataColumnRange,_xlfn.XLOOKUP(AH$1,dataRowRange,ActualDataRange))</f>
        <v>Georgia</v>
      </c>
      <c r="AI8" s="31" cm="1">
        <f t="array" ref="AI8">_xlfn.XLOOKUP($A8,DataColumnRange,_xlfn.XLOOKUP(AI$1,dataRowRange,ActualDataRange))</f>
        <v>55055</v>
      </c>
      <c r="AJ8" s="31" t="str" cm="1">
        <f t="array" ref="AJ8">_xlfn.XLOOKUP($A8,DataColumnRange,_xlfn.XLOOKUP(AJ$1,dataRowRange,ActualDataRange))</f>
        <v>171276181</v>
      </c>
      <c r="AK8" s="31" t="str" cm="1">
        <f t="array" ref="AK8">_xlfn.XLOOKUP($A8,DataColumnRange,_xlfn.XLOOKUP(AK$1,dataRowRange,ActualDataRange))</f>
        <v>International</v>
      </c>
      <c r="AL8" s="31" cm="1">
        <f t="array" ref="AL8">_xlfn.XLOOKUP($A8,DataColumnRange,_xlfn.XLOOKUP(AL$1,dataRowRange,ActualDataRange))</f>
        <v>0</v>
      </c>
    </row>
    <row r="9" spans="1:38" ht="17" thickBot="1">
      <c r="A9" s="69" t="s">
        <v>318</v>
      </c>
      <c r="B9" s="42" t="s">
        <v>309</v>
      </c>
      <c r="C9" s="32" t="s">
        <v>39</v>
      </c>
      <c r="D9" s="40" t="str">
        <f>IF(TestCaseConfig!$B$2="Yes","Yes","No")</f>
        <v>Yes</v>
      </c>
      <c r="E9" s="31" t="str" cm="1">
        <f t="array" ref="E9">_xlfn.XLOOKUP($A9,DataColumnRange,_xlfn.XLOOKUP(E$1,dataRowRange,ActualDataRange))</f>
        <v>sumit.choudhary@delta.com</v>
      </c>
      <c r="F9" s="31" t="str" cm="1">
        <f t="array" ref="F9">_xlfn.XLOOKUP($A9,DataColumnRange,_xlfn.XLOOKUP(F$1,dataRowRange,ActualDataRange))</f>
        <v>Delta2</v>
      </c>
      <c r="G9" s="31" t="b" cm="1">
        <f t="array" ref="G9">_xlfn.XLOOKUP($A9,DataColumnRange,_xlfn.XLOOKUP(G$1,dataRowRange,ActualDataRange))</f>
        <v>1</v>
      </c>
      <c r="H9" s="31" t="str" cm="1">
        <f t="array" ref="H9">_xlfn.XLOOKUP($A9,DataColumnRange,_xlfn.XLOOKUP(H$1,dataRowRange,ActualDataRange))</f>
        <v>NA</v>
      </c>
      <c r="I9" s="31" t="str" cm="1">
        <f t="array" ref="I9">_xlfn.XLOOKUP($A9,DataColumnRange,_xlfn.XLOOKUP(I$1,dataRowRange,ActualDataRange))</f>
        <v>ATL</v>
      </c>
      <c r="J9" s="31" t="str" cm="1">
        <f t="array" ref="J9">_xlfn.XLOOKUP($A9,DataColumnRange,_xlfn.XLOOKUP(J$1,dataRowRange,ActualDataRange))</f>
        <v>MSP</v>
      </c>
      <c r="K9" s="31" t="str" cm="1">
        <f t="array" ref="K9">_xlfn.XLOOKUP($A9,DataColumnRange,_xlfn.XLOOKUP(K$1,dataRowRange,ActualDataRange))</f>
        <v>Cat</v>
      </c>
      <c r="L9" s="31" t="str" cm="1">
        <f t="array" ref="L9">_xlfn.XLOOKUP($A9,DataColumnRange,_xlfn.XLOOKUP(L$1,dataRowRange,ActualDataRange))</f>
        <v>Test Pet and Live</v>
      </c>
      <c r="M9" s="31" cm="1">
        <f t="array" ref="M9">_xlfn.XLOOKUP($A9,DataColumnRange,_xlfn.XLOOKUP(M$1,dataRowRange,ActualDataRange))</f>
        <v>30</v>
      </c>
      <c r="N9" s="31" t="str" cm="1">
        <f t="array" ref="N9">_xlfn.XLOOKUP($A9,DataColumnRange,_xlfn.XLOOKUP(N$1,dataRowRange,ActualDataRange))</f>
        <v>LB</v>
      </c>
      <c r="O9" s="31" cm="1">
        <f t="array" ref="O9">_xlfn.XLOOKUP($A9,DataColumnRange,_xlfn.XLOOKUP(O$1,dataRowRange,ActualDataRange))</f>
        <v>1</v>
      </c>
      <c r="P9" s="31" cm="1">
        <f t="array" ref="P9">_xlfn.XLOOKUP($A9,DataColumnRange,_xlfn.XLOOKUP(P$1,dataRowRange,ActualDataRange))</f>
        <v>10</v>
      </c>
      <c r="Q9" s="31" cm="1">
        <f t="array" ref="Q9">_xlfn.XLOOKUP($A9,DataColumnRange,_xlfn.XLOOKUP(Q$1,dataRowRange,ActualDataRange))</f>
        <v>10</v>
      </c>
      <c r="R9" s="31" cm="1">
        <f t="array" ref="R9">_xlfn.XLOOKUP($A9,DataColumnRange,_xlfn.XLOOKUP(R$1,dataRowRange,ActualDataRange))</f>
        <v>10</v>
      </c>
      <c r="S9" s="31" t="str" cm="1">
        <f t="array" ref="S9">_xlfn.XLOOKUP($A9,DataColumnRange,_xlfn.XLOOKUP(S$1,dataRowRange,ActualDataRange))</f>
        <v>IN</v>
      </c>
      <c r="T9" s="31" t="str" cm="1">
        <f t="array" ref="T9">_xlfn.XLOOKUP($A9,DataColumnRange,_xlfn.XLOOKUP(T$1,dataRowRange,ActualDataRange))</f>
        <v>Cubic Feet</v>
      </c>
      <c r="U9" s="31" t="str" cm="1">
        <f t="array" ref="U9">_xlfn.XLOOKUP($A9,DataColumnRange,_xlfn.XLOOKUP(U$1,dataRowRange,ActualDataRange))</f>
        <v>Yes</v>
      </c>
      <c r="V9" s="31" t="str" cm="1">
        <f t="array" ref="V9">_xlfn.XLOOKUP($A9,DataColumnRange,_xlfn.XLOOKUP(V$1,dataRowRange,ActualDataRange))</f>
        <v>No</v>
      </c>
      <c r="W9" s="31" t="str" cm="1">
        <f t="array" ref="W9">_xlfn.XLOOKUP($A9,DataColumnRange,_xlfn.XLOOKUP(W$1,dataRowRange,ActualDataRange))</f>
        <v>Yes</v>
      </c>
      <c r="X9" s="31" cm="1">
        <f t="array" ref="X9">_xlfn.XLOOKUP($A9,DataColumnRange,_xlfn.XLOOKUP(X$1,dataRowRange,ActualDataRange))</f>
        <v>3</v>
      </c>
      <c r="Y9" s="31" t="str" cm="1">
        <f t="array" ref="Y9">_xlfn.XLOOKUP($A9,DataColumnRange,_xlfn.XLOOKUP(Y$1,dataRowRange,ActualDataRange))</f>
        <v>No</v>
      </c>
      <c r="Z9" s="31" t="str" cm="1">
        <f t="array" ref="Z9">_xlfn.XLOOKUP($A9,DataColumnRange,_xlfn.XLOOKUP(Z$1,dataRowRange,ActualDataRange))</f>
        <v>NA</v>
      </c>
      <c r="AA9" s="31" t="str" cm="1">
        <f t="array" ref="AA9">_xlfn.XLOOKUP($A9,DataColumnRange,_xlfn.XLOOKUP(AA$1,dataRowRange,ActualDataRange))</f>
        <v>000260018</v>
      </c>
      <c r="AB9" s="31" t="str" cm="1">
        <f t="array" ref="AB9">_xlfn.XLOOKUP($A9,DataColumnRange,_xlfn.XLOOKUP(AB$1,dataRowRange,ActualDataRange))</f>
        <v>GeneralCargoTemplate</v>
      </c>
      <c r="AC9" s="31" t="str" cm="1">
        <f t="array" ref="AC9">_xlfn.XLOOKUP($A9,DataColumnRange,_xlfn.XLOOKUP(AC$1,dataRowRange,ActualDataRange))</f>
        <v>CreditCard</v>
      </c>
      <c r="AD9" s="31" t="str" cm="1">
        <f t="array" ref="AD9">_xlfn.XLOOKUP($A9,DataColumnRange,_xlfn.XLOOKUP(AD$1,dataRowRange,ActualDataRange))</f>
        <v>NA</v>
      </c>
      <c r="AE9" s="31" t="str" cm="1">
        <f t="array" ref="AE9">_xlfn.XLOOKUP($A9,DataColumnRange,_xlfn.XLOOKUP(AE$1,dataRowRange,ActualDataRange))</f>
        <v>Test1</v>
      </c>
      <c r="AF9" s="31" t="str" cm="1">
        <f t="array" ref="AF9">_xlfn.XLOOKUP($A9,DataColumnRange,_xlfn.XLOOKUP(AF$1,dataRowRange,ActualDataRange))</f>
        <v>Test2</v>
      </c>
      <c r="AG9" s="31" t="str" cm="1">
        <f t="array" ref="AG9">_xlfn.XLOOKUP($A9,DataColumnRange,_xlfn.XLOOKUP(AG$1,dataRowRange,ActualDataRange))</f>
        <v>Atlanta</v>
      </c>
      <c r="AH9" s="31" t="str" cm="1">
        <f t="array" ref="AH9">_xlfn.XLOOKUP($A9,DataColumnRange,_xlfn.XLOOKUP(AH$1,dataRowRange,ActualDataRange))</f>
        <v>Georgia</v>
      </c>
      <c r="AI9" s="31" cm="1">
        <f t="array" ref="AI9">_xlfn.XLOOKUP($A9,DataColumnRange,_xlfn.XLOOKUP(AI$1,dataRowRange,ActualDataRange))</f>
        <v>55055</v>
      </c>
      <c r="AJ9" s="31" t="str" cm="1">
        <f t="array" ref="AJ9">_xlfn.XLOOKUP($A9,DataColumnRange,_xlfn.XLOOKUP(AJ$1,dataRowRange,ActualDataRange))</f>
        <v>171276181</v>
      </c>
      <c r="AK9" s="31" t="str" cm="1">
        <f t="array" ref="AK9">_xlfn.XLOOKUP($A9,DataColumnRange,_xlfn.XLOOKUP(AK$1,dataRowRange,ActualDataRange))</f>
        <v>International</v>
      </c>
      <c r="AL9" s="31" cm="1">
        <f t="array" ref="AL9">_xlfn.XLOOKUP($A9,DataColumnRange,_xlfn.XLOOKUP(AL$1,dataRowRange,ActualDataRange))</f>
        <v>0</v>
      </c>
    </row>
    <row r="10" spans="1:38" ht="17" thickBot="1">
      <c r="A10" s="69" t="s">
        <v>319</v>
      </c>
      <c r="B10" s="42" t="s">
        <v>309</v>
      </c>
      <c r="C10" s="32" t="s">
        <v>225</v>
      </c>
      <c r="D10" s="40" t="str">
        <f>IF(TestCaseConfig!$B$2="Yes","Yes","No")</f>
        <v>Yes</v>
      </c>
      <c r="E10" s="31" t="str" cm="1">
        <f t="array" ref="E10">_xlfn.XLOOKUP($A10,DataColumnRange,_xlfn.XLOOKUP(E$1,dataRowRange,ActualDataRange))</f>
        <v>sumit.choudhary@delta.com</v>
      </c>
      <c r="F10" s="31" t="str" cm="1">
        <f t="array" ref="F10">_xlfn.XLOOKUP($A10,DataColumnRange,_xlfn.XLOOKUP(F$1,dataRowRange,ActualDataRange))</f>
        <v>Delta2</v>
      </c>
      <c r="G10" s="31" t="b" cm="1">
        <f t="array" ref="G10">_xlfn.XLOOKUP($A10,DataColumnRange,_xlfn.XLOOKUP(G$1,dataRowRange,ActualDataRange))</f>
        <v>1</v>
      </c>
      <c r="H10" s="31" t="str" cm="1">
        <f t="array" ref="H10">_xlfn.XLOOKUP($A10,DataColumnRange,_xlfn.XLOOKUP(H$1,dataRowRange,ActualDataRange))</f>
        <v>NA</v>
      </c>
      <c r="I10" s="31" t="str" cm="1">
        <f t="array" ref="I10">_xlfn.XLOOKUP($A10,DataColumnRange,_xlfn.XLOOKUP(I$1,dataRowRange,ActualDataRange))</f>
        <v>ATL</v>
      </c>
      <c r="J10" s="31" t="str" cm="1">
        <f t="array" ref="J10">_xlfn.XLOOKUP($A10,DataColumnRange,_xlfn.XLOOKUP(J$1,dataRowRange,ActualDataRange))</f>
        <v>MSP</v>
      </c>
      <c r="K10" s="31" t="str" cm="1">
        <f t="array" ref="K10">_xlfn.XLOOKUP($A10,DataColumnRange,_xlfn.XLOOKUP(K$1,dataRowRange,ActualDataRange))</f>
        <v>Cold Blooded Animal</v>
      </c>
      <c r="L10" s="31" t="str" cm="1">
        <f t="array" ref="L10">_xlfn.XLOOKUP($A10,DataColumnRange,_xlfn.XLOOKUP(L$1,dataRowRange,ActualDataRange))</f>
        <v>Test Pet and Live</v>
      </c>
      <c r="M10" s="31" cm="1">
        <f t="array" ref="M10">_xlfn.XLOOKUP($A10,DataColumnRange,_xlfn.XLOOKUP(M$1,dataRowRange,ActualDataRange))</f>
        <v>60</v>
      </c>
      <c r="N10" s="31" t="str" cm="1">
        <f t="array" ref="N10">_xlfn.XLOOKUP($A10,DataColumnRange,_xlfn.XLOOKUP(N$1,dataRowRange,ActualDataRange))</f>
        <v>KG</v>
      </c>
      <c r="O10" s="31" cm="1">
        <f t="array" ref="O10">_xlfn.XLOOKUP($A10,DataColumnRange,_xlfn.XLOOKUP(O$1,dataRowRange,ActualDataRange))</f>
        <v>1</v>
      </c>
      <c r="P10" s="31" cm="1">
        <f t="array" ref="P10">_xlfn.XLOOKUP($A10,DataColumnRange,_xlfn.XLOOKUP(P$1,dataRowRange,ActualDataRange))</f>
        <v>10</v>
      </c>
      <c r="Q10" s="31" cm="1">
        <f t="array" ref="Q10">_xlfn.XLOOKUP($A10,DataColumnRange,_xlfn.XLOOKUP(Q$1,dataRowRange,ActualDataRange))</f>
        <v>10</v>
      </c>
      <c r="R10" s="31" cm="1">
        <f t="array" ref="R10">_xlfn.XLOOKUP($A10,DataColumnRange,_xlfn.XLOOKUP(R$1,dataRowRange,ActualDataRange))</f>
        <v>10</v>
      </c>
      <c r="S10" s="31" t="str" cm="1">
        <f t="array" ref="S10">_xlfn.XLOOKUP($A10,DataColumnRange,_xlfn.XLOOKUP(S$1,dataRowRange,ActualDataRange))</f>
        <v>CM</v>
      </c>
      <c r="T10" s="31" t="str" cm="1">
        <f t="array" ref="T10">_xlfn.XLOOKUP($A10,DataColumnRange,_xlfn.XLOOKUP(T$1,dataRowRange,ActualDataRange))</f>
        <v>Cubic Feet</v>
      </c>
      <c r="U10" s="31" t="str" cm="1">
        <f t="array" ref="U10">_xlfn.XLOOKUP($A10,DataColumnRange,_xlfn.XLOOKUP(U$1,dataRowRange,ActualDataRange))</f>
        <v>No</v>
      </c>
      <c r="V10" s="31" t="str" cm="1">
        <f t="array" ref="V10">_xlfn.XLOOKUP($A10,DataColumnRange,_xlfn.XLOOKUP(V$1,dataRowRange,ActualDataRange))</f>
        <v>No</v>
      </c>
      <c r="W10" s="31" t="str" cm="1">
        <f t="array" ref="W10">_xlfn.XLOOKUP($A10,DataColumnRange,_xlfn.XLOOKUP(W$1,dataRowRange,ActualDataRange))</f>
        <v>No</v>
      </c>
      <c r="X10" s="31" cm="1">
        <f t="array" ref="X10">_xlfn.XLOOKUP($A10,DataColumnRange,_xlfn.XLOOKUP(X$1,dataRowRange,ActualDataRange))</f>
        <v>4</v>
      </c>
      <c r="Y10" s="31" t="str" cm="1">
        <f t="array" ref="Y10">_xlfn.XLOOKUP($A10,DataColumnRange,_xlfn.XLOOKUP(Y$1,dataRowRange,ActualDataRange))</f>
        <v>No</v>
      </c>
      <c r="Z10" s="31" t="str" cm="1">
        <f t="array" ref="Z10">_xlfn.XLOOKUP($A10,DataColumnRange,_xlfn.XLOOKUP(Z$1,dataRowRange,ActualDataRange))</f>
        <v>NA</v>
      </c>
      <c r="AA10" s="31" t="str" cm="1">
        <f t="array" ref="AA10">_xlfn.XLOOKUP($A10,DataColumnRange,_xlfn.XLOOKUP(AA$1,dataRowRange,ActualDataRange))</f>
        <v>000260018</v>
      </c>
      <c r="AB10" s="31" t="str" cm="1">
        <f t="array" ref="AB10">_xlfn.XLOOKUP($A10,DataColumnRange,_xlfn.XLOOKUP(AB$1,dataRowRange,ActualDataRange))</f>
        <v>GeneralCargoTemplate</v>
      </c>
      <c r="AC10" s="31" t="str" cm="1">
        <f t="array" ref="AC10">_xlfn.XLOOKUP($A10,DataColumnRange,_xlfn.XLOOKUP(AC$1,dataRowRange,ActualDataRange))</f>
        <v>CreditCard</v>
      </c>
      <c r="AD10" s="31" t="str" cm="1">
        <f t="array" ref="AD10">_xlfn.XLOOKUP($A10,DataColumnRange,_xlfn.XLOOKUP(AD$1,dataRowRange,ActualDataRange))</f>
        <v>NA</v>
      </c>
      <c r="AE10" s="31" t="str" cm="1">
        <f t="array" ref="AE10">_xlfn.XLOOKUP($A10,DataColumnRange,_xlfn.XLOOKUP(AE$1,dataRowRange,ActualDataRange))</f>
        <v>Test1</v>
      </c>
      <c r="AF10" s="31" t="str" cm="1">
        <f t="array" ref="AF10">_xlfn.XLOOKUP($A10,DataColumnRange,_xlfn.XLOOKUP(AF$1,dataRowRange,ActualDataRange))</f>
        <v>Test2</v>
      </c>
      <c r="AG10" s="31" t="str" cm="1">
        <f t="array" ref="AG10">_xlfn.XLOOKUP($A10,DataColumnRange,_xlfn.XLOOKUP(AG$1,dataRowRange,ActualDataRange))</f>
        <v>Atlanta</v>
      </c>
      <c r="AH10" s="31" t="str" cm="1">
        <f t="array" ref="AH10">_xlfn.XLOOKUP($A10,DataColumnRange,_xlfn.XLOOKUP(AH$1,dataRowRange,ActualDataRange))</f>
        <v>Georgia</v>
      </c>
      <c r="AI10" s="31" cm="1">
        <f t="array" ref="AI10">_xlfn.XLOOKUP($A10,DataColumnRange,_xlfn.XLOOKUP(AI$1,dataRowRange,ActualDataRange))</f>
        <v>55055</v>
      </c>
      <c r="AJ10" s="31" t="str" cm="1">
        <f t="array" ref="AJ10">_xlfn.XLOOKUP($A10,DataColumnRange,_xlfn.XLOOKUP(AJ$1,dataRowRange,ActualDataRange))</f>
        <v>171276181</v>
      </c>
      <c r="AK10" s="31" t="str" cm="1">
        <f t="array" ref="AK10">_xlfn.XLOOKUP($A10,DataColumnRange,_xlfn.XLOOKUP(AK$1,dataRowRange,ActualDataRange))</f>
        <v>International</v>
      </c>
      <c r="AL10" s="31" cm="1">
        <f t="array" ref="AL10">_xlfn.XLOOKUP($A10,DataColumnRange,_xlfn.XLOOKUP(AL$1,dataRowRange,ActualDataRange))</f>
        <v>0</v>
      </c>
    </row>
    <row r="11" spans="1:38" ht="17" thickBot="1">
      <c r="A11" s="69" t="s">
        <v>320</v>
      </c>
      <c r="B11" s="42" t="s">
        <v>309</v>
      </c>
      <c r="C11" s="32" t="s">
        <v>226</v>
      </c>
      <c r="D11" s="40" t="str">
        <f>IF(TestCaseConfig!$B$2="Yes","Yes","No")</f>
        <v>Yes</v>
      </c>
      <c r="E11" s="31" t="str" cm="1">
        <f t="array" ref="E11">_xlfn.XLOOKUP($A11,DataColumnRange,_xlfn.XLOOKUP(E$1,dataRowRange,ActualDataRange))</f>
        <v>sumit.choudhary@delta.com</v>
      </c>
      <c r="F11" s="31" t="str" cm="1">
        <f t="array" ref="F11">_xlfn.XLOOKUP($A11,DataColumnRange,_xlfn.XLOOKUP(F$1,dataRowRange,ActualDataRange))</f>
        <v>Delta2</v>
      </c>
      <c r="G11" s="31" t="b" cm="1">
        <f t="array" ref="G11">_xlfn.XLOOKUP($A11,DataColumnRange,_xlfn.XLOOKUP(G$1,dataRowRange,ActualDataRange))</f>
        <v>1</v>
      </c>
      <c r="H11" s="31" t="str" cm="1">
        <f t="array" ref="H11">_xlfn.XLOOKUP($A11,DataColumnRange,_xlfn.XLOOKUP(H$1,dataRowRange,ActualDataRange))</f>
        <v>NA</v>
      </c>
      <c r="I11" s="31" t="str" cm="1">
        <f t="array" ref="I11">_xlfn.XLOOKUP($A11,DataColumnRange,_xlfn.XLOOKUP(I$1,dataRowRange,ActualDataRange))</f>
        <v>ATL</v>
      </c>
      <c r="J11" s="31" t="str" cm="1">
        <f t="array" ref="J11">_xlfn.XLOOKUP($A11,DataColumnRange,_xlfn.XLOOKUP(J$1,dataRowRange,ActualDataRange))</f>
        <v>MSP</v>
      </c>
      <c r="K11" s="31" t="str" cm="1">
        <f t="array" ref="K11">_xlfn.XLOOKUP($A11,DataColumnRange,_xlfn.XLOOKUP(K$1,dataRowRange,ActualDataRange))</f>
        <v>Dog</v>
      </c>
      <c r="L11" s="31" t="str" cm="1">
        <f t="array" ref="L11">_xlfn.XLOOKUP($A11,DataColumnRange,_xlfn.XLOOKUP(L$1,dataRowRange,ActualDataRange))</f>
        <v>Test Pet and Live</v>
      </c>
      <c r="M11" s="31" cm="1">
        <f t="array" ref="M11">_xlfn.XLOOKUP($A11,DataColumnRange,_xlfn.XLOOKUP(M$1,dataRowRange,ActualDataRange))</f>
        <v>20</v>
      </c>
      <c r="N11" s="31" t="str" cm="1">
        <f t="array" ref="N11">_xlfn.XLOOKUP($A11,DataColumnRange,_xlfn.XLOOKUP(N$1,dataRowRange,ActualDataRange))</f>
        <v>LB</v>
      </c>
      <c r="O11" s="31" cm="1">
        <f t="array" ref="O11">_xlfn.XLOOKUP($A11,DataColumnRange,_xlfn.XLOOKUP(O$1,dataRowRange,ActualDataRange))</f>
        <v>1</v>
      </c>
      <c r="P11" s="31" cm="1">
        <f t="array" ref="P11">_xlfn.XLOOKUP($A11,DataColumnRange,_xlfn.XLOOKUP(P$1,dataRowRange,ActualDataRange))</f>
        <v>10</v>
      </c>
      <c r="Q11" s="31" cm="1">
        <f t="array" ref="Q11">_xlfn.XLOOKUP($A11,DataColumnRange,_xlfn.XLOOKUP(Q$1,dataRowRange,ActualDataRange))</f>
        <v>10</v>
      </c>
      <c r="R11" s="31" cm="1">
        <f t="array" ref="R11">_xlfn.XLOOKUP($A11,DataColumnRange,_xlfn.XLOOKUP(R$1,dataRowRange,ActualDataRange))</f>
        <v>10</v>
      </c>
      <c r="S11" s="31" t="str" cm="1">
        <f t="array" ref="S11">_xlfn.XLOOKUP($A11,DataColumnRange,_xlfn.XLOOKUP(S$1,dataRowRange,ActualDataRange))</f>
        <v>IN</v>
      </c>
      <c r="T11" s="31" t="str" cm="1">
        <f t="array" ref="T11">_xlfn.XLOOKUP($A11,DataColumnRange,_xlfn.XLOOKUP(T$1,dataRowRange,ActualDataRange))</f>
        <v>Cubic Feet</v>
      </c>
      <c r="U11" s="31" t="str" cm="1">
        <f t="array" ref="U11">_xlfn.XLOOKUP($A11,DataColumnRange,_xlfn.XLOOKUP(U$1,dataRowRange,ActualDataRange))</f>
        <v>Yes</v>
      </c>
      <c r="V11" s="31" t="str" cm="1">
        <f t="array" ref="V11">_xlfn.XLOOKUP($A11,DataColumnRange,_xlfn.XLOOKUP(V$1,dataRowRange,ActualDataRange))</f>
        <v>No</v>
      </c>
      <c r="W11" s="31" t="str" cm="1">
        <f t="array" ref="W11">_xlfn.XLOOKUP($A11,DataColumnRange,_xlfn.XLOOKUP(W$1,dataRowRange,ActualDataRange))</f>
        <v>Yes</v>
      </c>
      <c r="X11" s="31" cm="1">
        <f t="array" ref="X11">_xlfn.XLOOKUP($A11,DataColumnRange,_xlfn.XLOOKUP(X$1,dataRowRange,ActualDataRange))</f>
        <v>5</v>
      </c>
      <c r="Y11" s="31" t="str" cm="1">
        <f t="array" ref="Y11">_xlfn.XLOOKUP($A11,DataColumnRange,_xlfn.XLOOKUP(Y$1,dataRowRange,ActualDataRange))</f>
        <v>No</v>
      </c>
      <c r="Z11" s="31" t="str" cm="1">
        <f t="array" ref="Z11">_xlfn.XLOOKUP($A11,DataColumnRange,_xlfn.XLOOKUP(Z$1,dataRowRange,ActualDataRange))</f>
        <v>NA</v>
      </c>
      <c r="AA11" s="31" t="str" cm="1">
        <f t="array" ref="AA11">_xlfn.XLOOKUP($A11,DataColumnRange,_xlfn.XLOOKUP(AA$1,dataRowRange,ActualDataRange))</f>
        <v>000260018</v>
      </c>
      <c r="AB11" s="31" t="str" cm="1">
        <f t="array" ref="AB11">_xlfn.XLOOKUP($A11,DataColumnRange,_xlfn.XLOOKUP(AB$1,dataRowRange,ActualDataRange))</f>
        <v>GeneralCargoTemplate</v>
      </c>
      <c r="AC11" s="31" t="str" cm="1">
        <f t="array" ref="AC11">_xlfn.XLOOKUP($A11,DataColumnRange,_xlfn.XLOOKUP(AC$1,dataRowRange,ActualDataRange))</f>
        <v>CreditCard</v>
      </c>
      <c r="AD11" s="31" t="str" cm="1">
        <f t="array" ref="AD11">_xlfn.XLOOKUP($A11,DataColumnRange,_xlfn.XLOOKUP(AD$1,dataRowRange,ActualDataRange))</f>
        <v>NA</v>
      </c>
      <c r="AE11" s="31" t="str" cm="1">
        <f t="array" ref="AE11">_xlfn.XLOOKUP($A11,DataColumnRange,_xlfn.XLOOKUP(AE$1,dataRowRange,ActualDataRange))</f>
        <v>Test1</v>
      </c>
      <c r="AF11" s="31" t="str" cm="1">
        <f t="array" ref="AF11">_xlfn.XLOOKUP($A11,DataColumnRange,_xlfn.XLOOKUP(AF$1,dataRowRange,ActualDataRange))</f>
        <v>Test2</v>
      </c>
      <c r="AG11" s="31" t="str" cm="1">
        <f t="array" ref="AG11">_xlfn.XLOOKUP($A11,DataColumnRange,_xlfn.XLOOKUP(AG$1,dataRowRange,ActualDataRange))</f>
        <v>Atlanta</v>
      </c>
      <c r="AH11" s="31" t="str" cm="1">
        <f t="array" ref="AH11">_xlfn.XLOOKUP($A11,DataColumnRange,_xlfn.XLOOKUP(AH$1,dataRowRange,ActualDataRange))</f>
        <v>Georgia</v>
      </c>
      <c r="AI11" s="31" cm="1">
        <f t="array" ref="AI11">_xlfn.XLOOKUP($A11,DataColumnRange,_xlfn.XLOOKUP(AI$1,dataRowRange,ActualDataRange))</f>
        <v>55055</v>
      </c>
      <c r="AJ11" s="31" t="str" cm="1">
        <f t="array" ref="AJ11">_xlfn.XLOOKUP($A11,DataColumnRange,_xlfn.XLOOKUP(AJ$1,dataRowRange,ActualDataRange))</f>
        <v>171276181</v>
      </c>
      <c r="AK11" s="31" t="str" cm="1">
        <f t="array" ref="AK11">_xlfn.XLOOKUP($A11,DataColumnRange,_xlfn.XLOOKUP(AK$1,dataRowRange,ActualDataRange))</f>
        <v>International</v>
      </c>
      <c r="AL11" s="31" cm="1">
        <f t="array" ref="AL11">_xlfn.XLOOKUP($A11,DataColumnRange,_xlfn.XLOOKUP(AL$1,dataRowRange,ActualDataRange))</f>
        <v>0</v>
      </c>
    </row>
    <row r="12" spans="1:38" ht="17" thickBot="1">
      <c r="A12" s="69" t="s">
        <v>321</v>
      </c>
      <c r="B12" s="42" t="s">
        <v>309</v>
      </c>
      <c r="C12" s="32" t="s">
        <v>222</v>
      </c>
      <c r="D12" s="40" t="str">
        <f>IF(TestCaseConfig!$B$2="Yes","Yes","No")</f>
        <v>Yes</v>
      </c>
      <c r="E12" s="31" t="str" cm="1">
        <f t="array" ref="E12">_xlfn.XLOOKUP($A12,DataColumnRange,_xlfn.XLOOKUP(E$1,dataRowRange,ActualDataRange))</f>
        <v>sumit.choudhary@delta.com</v>
      </c>
      <c r="F12" s="31" t="str" cm="1">
        <f t="array" ref="F12">_xlfn.XLOOKUP($A12,DataColumnRange,_xlfn.XLOOKUP(F$1,dataRowRange,ActualDataRange))</f>
        <v>Delta2</v>
      </c>
      <c r="G12" s="31" t="b" cm="1">
        <f t="array" ref="G12">_xlfn.XLOOKUP($A12,DataColumnRange,_xlfn.XLOOKUP(G$1,dataRowRange,ActualDataRange))</f>
        <v>1</v>
      </c>
      <c r="H12" s="31" t="str" cm="1">
        <f t="array" ref="H12">_xlfn.XLOOKUP($A12,DataColumnRange,_xlfn.XLOOKUP(H$1,dataRowRange,ActualDataRange))</f>
        <v>NA</v>
      </c>
      <c r="I12" s="31" t="str" cm="1">
        <f t="array" ref="I12">_xlfn.XLOOKUP($A12,DataColumnRange,_xlfn.XLOOKUP(I$1,dataRowRange,ActualDataRange))</f>
        <v>ATL</v>
      </c>
      <c r="J12" s="31" t="str" cm="1">
        <f t="array" ref="J12">_xlfn.XLOOKUP($A12,DataColumnRange,_xlfn.XLOOKUP(J$1,dataRowRange,ActualDataRange))</f>
        <v>MSP</v>
      </c>
      <c r="K12" s="31" t="str" cm="1">
        <f t="array" ref="K12">_xlfn.XLOOKUP($A12,DataColumnRange,_xlfn.XLOOKUP(K$1,dataRowRange,ActualDataRange))</f>
        <v>Hatching Eggs</v>
      </c>
      <c r="L12" s="31" t="str" cm="1">
        <f t="array" ref="L12">_xlfn.XLOOKUP($A12,DataColumnRange,_xlfn.XLOOKUP(L$1,dataRowRange,ActualDataRange))</f>
        <v>Test Pet and Live</v>
      </c>
      <c r="M12" s="31" cm="1">
        <f t="array" ref="M12">_xlfn.XLOOKUP($A12,DataColumnRange,_xlfn.XLOOKUP(M$1,dataRowRange,ActualDataRange))</f>
        <v>10</v>
      </c>
      <c r="N12" s="31" t="str" cm="1">
        <f t="array" ref="N12">_xlfn.XLOOKUP($A12,DataColumnRange,_xlfn.XLOOKUP(N$1,dataRowRange,ActualDataRange))</f>
        <v>KG</v>
      </c>
      <c r="O12" s="31" cm="1">
        <f t="array" ref="O12">_xlfn.XLOOKUP($A12,DataColumnRange,_xlfn.XLOOKUP(O$1,dataRowRange,ActualDataRange))</f>
        <v>1</v>
      </c>
      <c r="P12" s="31" cm="1">
        <f t="array" ref="P12">_xlfn.XLOOKUP($A12,DataColumnRange,_xlfn.XLOOKUP(P$1,dataRowRange,ActualDataRange))</f>
        <v>10</v>
      </c>
      <c r="Q12" s="31" cm="1">
        <f t="array" ref="Q12">_xlfn.XLOOKUP($A12,DataColumnRange,_xlfn.XLOOKUP(Q$1,dataRowRange,ActualDataRange))</f>
        <v>10</v>
      </c>
      <c r="R12" s="31" cm="1">
        <f t="array" ref="R12">_xlfn.XLOOKUP($A12,DataColumnRange,_xlfn.XLOOKUP(R$1,dataRowRange,ActualDataRange))</f>
        <v>10</v>
      </c>
      <c r="S12" s="31" t="str" cm="1">
        <f t="array" ref="S12">_xlfn.XLOOKUP($A12,DataColumnRange,_xlfn.XLOOKUP(S$1,dataRowRange,ActualDataRange))</f>
        <v>CM</v>
      </c>
      <c r="T12" s="31" t="str" cm="1">
        <f t="array" ref="T12">_xlfn.XLOOKUP($A12,DataColumnRange,_xlfn.XLOOKUP(T$1,dataRowRange,ActualDataRange))</f>
        <v>Cubic Feet</v>
      </c>
      <c r="U12" s="31" t="str" cm="1">
        <f t="array" ref="U12">_xlfn.XLOOKUP($A12,DataColumnRange,_xlfn.XLOOKUP(U$1,dataRowRange,ActualDataRange))</f>
        <v>No</v>
      </c>
      <c r="V12" s="31" t="str" cm="1">
        <f t="array" ref="V12">_xlfn.XLOOKUP($A12,DataColumnRange,_xlfn.XLOOKUP(V$1,dataRowRange,ActualDataRange))</f>
        <v>No</v>
      </c>
      <c r="W12" s="31" t="str" cm="1">
        <f t="array" ref="W12">_xlfn.XLOOKUP($A12,DataColumnRange,_xlfn.XLOOKUP(W$1,dataRowRange,ActualDataRange))</f>
        <v>No</v>
      </c>
      <c r="X12" s="31" cm="1">
        <f t="array" ref="X12">_xlfn.XLOOKUP($A12,DataColumnRange,_xlfn.XLOOKUP(X$1,dataRowRange,ActualDataRange))</f>
        <v>6</v>
      </c>
      <c r="Y12" s="31" t="str" cm="1">
        <f t="array" ref="Y12">_xlfn.XLOOKUP($A12,DataColumnRange,_xlfn.XLOOKUP(Y$1,dataRowRange,ActualDataRange))</f>
        <v>No</v>
      </c>
      <c r="Z12" s="31" t="str" cm="1">
        <f t="array" ref="Z12">_xlfn.XLOOKUP($A12,DataColumnRange,_xlfn.XLOOKUP(Z$1,dataRowRange,ActualDataRange))</f>
        <v>NA</v>
      </c>
      <c r="AA12" s="31" t="str" cm="1">
        <f t="array" ref="AA12">_xlfn.XLOOKUP($A12,DataColumnRange,_xlfn.XLOOKUP(AA$1,dataRowRange,ActualDataRange))</f>
        <v>000260018</v>
      </c>
      <c r="AB12" s="31" t="str" cm="1">
        <f t="array" ref="AB12">_xlfn.XLOOKUP($A12,DataColumnRange,_xlfn.XLOOKUP(AB$1,dataRowRange,ActualDataRange))</f>
        <v>GeneralCargoTemplate</v>
      </c>
      <c r="AC12" s="31" t="str" cm="1">
        <f t="array" ref="AC12">_xlfn.XLOOKUP($A12,DataColumnRange,_xlfn.XLOOKUP(AC$1,dataRowRange,ActualDataRange))</f>
        <v>CreditCard</v>
      </c>
      <c r="AD12" s="31" t="str" cm="1">
        <f t="array" ref="AD12">_xlfn.XLOOKUP($A12,DataColumnRange,_xlfn.XLOOKUP(AD$1,dataRowRange,ActualDataRange))</f>
        <v>NA</v>
      </c>
      <c r="AE12" s="31" t="str" cm="1">
        <f t="array" ref="AE12">_xlfn.XLOOKUP($A12,DataColumnRange,_xlfn.XLOOKUP(AE$1,dataRowRange,ActualDataRange))</f>
        <v>Test1</v>
      </c>
      <c r="AF12" s="31" t="str" cm="1">
        <f t="array" ref="AF12">_xlfn.XLOOKUP($A12,DataColumnRange,_xlfn.XLOOKUP(AF$1,dataRowRange,ActualDataRange))</f>
        <v>Test2</v>
      </c>
      <c r="AG12" s="31" t="str" cm="1">
        <f t="array" ref="AG12">_xlfn.XLOOKUP($A12,DataColumnRange,_xlfn.XLOOKUP(AG$1,dataRowRange,ActualDataRange))</f>
        <v>Atlanta</v>
      </c>
      <c r="AH12" s="31" t="str" cm="1">
        <f t="array" ref="AH12">_xlfn.XLOOKUP($A12,DataColumnRange,_xlfn.XLOOKUP(AH$1,dataRowRange,ActualDataRange))</f>
        <v>Georgia</v>
      </c>
      <c r="AI12" s="31" cm="1">
        <f t="array" ref="AI12">_xlfn.XLOOKUP($A12,DataColumnRange,_xlfn.XLOOKUP(AI$1,dataRowRange,ActualDataRange))</f>
        <v>55055</v>
      </c>
      <c r="AJ12" s="31" t="str" cm="1">
        <f t="array" ref="AJ12">_xlfn.XLOOKUP($A12,DataColumnRange,_xlfn.XLOOKUP(AJ$1,dataRowRange,ActualDataRange))</f>
        <v>171276181</v>
      </c>
      <c r="AK12" s="31" t="str" cm="1">
        <f t="array" ref="AK12">_xlfn.XLOOKUP($A12,DataColumnRange,_xlfn.XLOOKUP(AK$1,dataRowRange,ActualDataRange))</f>
        <v>International</v>
      </c>
      <c r="AL12" s="31" cm="1">
        <f t="array" ref="AL12">_xlfn.XLOOKUP($A12,DataColumnRange,_xlfn.XLOOKUP(AL$1,dataRowRange,ActualDataRange))</f>
        <v>0</v>
      </c>
    </row>
    <row r="13" spans="1:38" ht="17" thickBot="1">
      <c r="A13" s="69" t="s">
        <v>322</v>
      </c>
      <c r="B13" s="42" t="s">
        <v>309</v>
      </c>
      <c r="C13" s="32" t="s">
        <v>227</v>
      </c>
      <c r="D13" s="40" t="str">
        <f>IF(TestCaseConfig!$B$2="Yes","Yes","No")</f>
        <v>Yes</v>
      </c>
      <c r="E13" s="31" t="str" cm="1">
        <f t="array" ref="E13">_xlfn.XLOOKUP($A13,DataColumnRange,_xlfn.XLOOKUP(E$1,dataRowRange,ActualDataRange))</f>
        <v>sumit.choudhary@delta.com</v>
      </c>
      <c r="F13" s="31" t="str" cm="1">
        <f t="array" ref="F13">_xlfn.XLOOKUP($A13,DataColumnRange,_xlfn.XLOOKUP(F$1,dataRowRange,ActualDataRange))</f>
        <v>Delta2</v>
      </c>
      <c r="G13" s="31" t="b" cm="1">
        <f t="array" ref="G13">_xlfn.XLOOKUP($A13,DataColumnRange,_xlfn.XLOOKUP(G$1,dataRowRange,ActualDataRange))</f>
        <v>1</v>
      </c>
      <c r="H13" s="31" t="str" cm="1">
        <f t="array" ref="H13">_xlfn.XLOOKUP($A13,DataColumnRange,_xlfn.XLOOKUP(H$1,dataRowRange,ActualDataRange))</f>
        <v>NA</v>
      </c>
      <c r="I13" s="31" t="str" cm="1">
        <f t="array" ref="I13">_xlfn.XLOOKUP($A13,DataColumnRange,_xlfn.XLOOKUP(I$1,dataRowRange,ActualDataRange))</f>
        <v>ATL</v>
      </c>
      <c r="J13" s="31" t="str" cm="1">
        <f t="array" ref="J13">_xlfn.XLOOKUP($A13,DataColumnRange,_xlfn.XLOOKUP(J$1,dataRowRange,ActualDataRange))</f>
        <v>MSP</v>
      </c>
      <c r="K13" s="31" t="str" cm="1">
        <f t="array" ref="K13">_xlfn.XLOOKUP($A13,DataColumnRange,_xlfn.XLOOKUP(K$1,dataRowRange,ActualDataRange))</f>
        <v>Warm Blooded Animal</v>
      </c>
      <c r="L13" s="31" t="str" cm="1">
        <f t="array" ref="L13">_xlfn.XLOOKUP($A13,DataColumnRange,_xlfn.XLOOKUP(L$1,dataRowRange,ActualDataRange))</f>
        <v>Test Pet and Live</v>
      </c>
      <c r="M13" s="31" cm="1">
        <f t="array" ref="M13">_xlfn.XLOOKUP($A13,DataColumnRange,_xlfn.XLOOKUP(M$1,dataRowRange,ActualDataRange))</f>
        <v>90</v>
      </c>
      <c r="N13" s="31" t="str" cm="1">
        <f t="array" ref="N13">_xlfn.XLOOKUP($A13,DataColumnRange,_xlfn.XLOOKUP(N$1,dataRowRange,ActualDataRange))</f>
        <v>LB</v>
      </c>
      <c r="O13" s="31" cm="1">
        <f t="array" ref="O13">_xlfn.XLOOKUP($A13,DataColumnRange,_xlfn.XLOOKUP(O$1,dataRowRange,ActualDataRange))</f>
        <v>1</v>
      </c>
      <c r="P13" s="31" cm="1">
        <f t="array" ref="P13">_xlfn.XLOOKUP($A13,DataColumnRange,_xlfn.XLOOKUP(P$1,dataRowRange,ActualDataRange))</f>
        <v>10</v>
      </c>
      <c r="Q13" s="31" cm="1">
        <f t="array" ref="Q13">_xlfn.XLOOKUP($A13,DataColumnRange,_xlfn.XLOOKUP(Q$1,dataRowRange,ActualDataRange))</f>
        <v>10</v>
      </c>
      <c r="R13" s="31" cm="1">
        <f t="array" ref="R13">_xlfn.XLOOKUP($A13,DataColumnRange,_xlfn.XLOOKUP(R$1,dataRowRange,ActualDataRange))</f>
        <v>10</v>
      </c>
      <c r="S13" s="31" t="str" cm="1">
        <f t="array" ref="S13">_xlfn.XLOOKUP($A13,DataColumnRange,_xlfn.XLOOKUP(S$1,dataRowRange,ActualDataRange))</f>
        <v>IN</v>
      </c>
      <c r="T13" s="31" t="str" cm="1">
        <f t="array" ref="T13">_xlfn.XLOOKUP($A13,DataColumnRange,_xlfn.XLOOKUP(T$1,dataRowRange,ActualDataRange))</f>
        <v>Cubic Feet</v>
      </c>
      <c r="U13" s="31" t="str" cm="1">
        <f t="array" ref="U13">_xlfn.XLOOKUP($A13,DataColumnRange,_xlfn.XLOOKUP(U$1,dataRowRange,ActualDataRange))</f>
        <v>Yes</v>
      </c>
      <c r="V13" s="31" t="str" cm="1">
        <f t="array" ref="V13">_xlfn.XLOOKUP($A13,DataColumnRange,_xlfn.XLOOKUP(V$1,dataRowRange,ActualDataRange))</f>
        <v>No</v>
      </c>
      <c r="W13" s="31" t="str" cm="1">
        <f t="array" ref="W13">_xlfn.XLOOKUP($A13,DataColumnRange,_xlfn.XLOOKUP(W$1,dataRowRange,ActualDataRange))</f>
        <v>Yes</v>
      </c>
      <c r="X13" s="31" cm="1">
        <f t="array" ref="X13">_xlfn.XLOOKUP($A13,DataColumnRange,_xlfn.XLOOKUP(X$1,dataRowRange,ActualDataRange))</f>
        <v>7</v>
      </c>
      <c r="Y13" s="31" t="str" cm="1">
        <f t="array" ref="Y13">_xlfn.XLOOKUP($A13,DataColumnRange,_xlfn.XLOOKUP(Y$1,dataRowRange,ActualDataRange))</f>
        <v>No</v>
      </c>
      <c r="Z13" s="31" t="str" cm="1">
        <f t="array" ref="Z13">_xlfn.XLOOKUP($A13,DataColumnRange,_xlfn.XLOOKUP(Z$1,dataRowRange,ActualDataRange))</f>
        <v>NA</v>
      </c>
      <c r="AA13" s="31" t="str" cm="1">
        <f t="array" ref="AA13">_xlfn.XLOOKUP($A13,DataColumnRange,_xlfn.XLOOKUP(AA$1,dataRowRange,ActualDataRange))</f>
        <v>000260018</v>
      </c>
      <c r="AB13" s="31" t="str" cm="1">
        <f t="array" ref="AB13">_xlfn.XLOOKUP($A13,DataColumnRange,_xlfn.XLOOKUP(AB$1,dataRowRange,ActualDataRange))</f>
        <v>GeneralCargoTemplate</v>
      </c>
      <c r="AC13" s="31" t="str" cm="1">
        <f t="array" ref="AC13">_xlfn.XLOOKUP($A13,DataColumnRange,_xlfn.XLOOKUP(AC$1,dataRowRange,ActualDataRange))</f>
        <v>CreditCard</v>
      </c>
      <c r="AD13" s="31" t="str" cm="1">
        <f t="array" ref="AD13">_xlfn.XLOOKUP($A13,DataColumnRange,_xlfn.XLOOKUP(AD$1,dataRowRange,ActualDataRange))</f>
        <v>NA</v>
      </c>
      <c r="AE13" s="31" t="str" cm="1">
        <f t="array" ref="AE13">_xlfn.XLOOKUP($A13,DataColumnRange,_xlfn.XLOOKUP(AE$1,dataRowRange,ActualDataRange))</f>
        <v>Test1</v>
      </c>
      <c r="AF13" s="31" t="str" cm="1">
        <f t="array" ref="AF13">_xlfn.XLOOKUP($A13,DataColumnRange,_xlfn.XLOOKUP(AF$1,dataRowRange,ActualDataRange))</f>
        <v>Test2</v>
      </c>
      <c r="AG13" s="31" t="str" cm="1">
        <f t="array" ref="AG13">_xlfn.XLOOKUP($A13,DataColumnRange,_xlfn.XLOOKUP(AG$1,dataRowRange,ActualDataRange))</f>
        <v>Atlanta</v>
      </c>
      <c r="AH13" s="31" t="str" cm="1">
        <f t="array" ref="AH13">_xlfn.XLOOKUP($A13,DataColumnRange,_xlfn.XLOOKUP(AH$1,dataRowRange,ActualDataRange))</f>
        <v>Georgia</v>
      </c>
      <c r="AI13" s="31" cm="1">
        <f t="array" ref="AI13">_xlfn.XLOOKUP($A13,DataColumnRange,_xlfn.XLOOKUP(AI$1,dataRowRange,ActualDataRange))</f>
        <v>55055</v>
      </c>
      <c r="AJ13" s="31" t="str" cm="1">
        <f t="array" ref="AJ13">_xlfn.XLOOKUP($A13,DataColumnRange,_xlfn.XLOOKUP(AJ$1,dataRowRange,ActualDataRange))</f>
        <v>171276181</v>
      </c>
      <c r="AK13" s="31" t="str" cm="1">
        <f t="array" ref="AK13">_xlfn.XLOOKUP($A13,DataColumnRange,_xlfn.XLOOKUP(AK$1,dataRowRange,ActualDataRange))</f>
        <v>International</v>
      </c>
      <c r="AL13" s="31" cm="1">
        <f t="array" ref="AL13">_xlfn.XLOOKUP($A13,DataColumnRange,_xlfn.XLOOKUP(AL$1,dataRowRange,ActualDataRange))</f>
        <v>0</v>
      </c>
    </row>
  </sheetData>
  <hyperlinks>
    <hyperlink ref="A1" location="TestCaseConfig!A1" display="Testcase" xr:uid="{73E00DBF-EAB7-6B46-8210-A3AA06B3C0E8}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123C-E07E-C740-AE81-4E891CD59C3F}">
  <dimension ref="A1:AM11"/>
  <sheetViews>
    <sheetView workbookViewId="0">
      <selection activeCell="E2" sqref="E2"/>
    </sheetView>
  </sheetViews>
  <sheetFormatPr defaultColWidth="11" defaultRowHeight="15.5"/>
  <cols>
    <col min="1" max="1" width="92.58203125" customWidth="1"/>
    <col min="3" max="3" width="46.08203125" customWidth="1"/>
    <col min="4" max="4" width="8.75" bestFit="1" customWidth="1"/>
    <col min="5" max="5" width="14.58203125" bestFit="1" customWidth="1"/>
    <col min="6" max="6" width="25" bestFit="1" customWidth="1"/>
    <col min="12" max="12" width="42.58203125" bestFit="1" customWidth="1"/>
    <col min="25" max="25" width="20.08203125" bestFit="1" customWidth="1"/>
    <col min="29" max="29" width="22.08203125" bestFit="1" customWidth="1"/>
  </cols>
  <sheetData>
    <row r="1" spans="1:39" s="11" customFormat="1" ht="16" thickBot="1">
      <c r="A1" s="19" t="s">
        <v>118</v>
      </c>
      <c r="B1" s="20" t="s">
        <v>2</v>
      </c>
      <c r="C1" s="20" t="s">
        <v>24</v>
      </c>
      <c r="D1" s="20" t="s">
        <v>110</v>
      </c>
      <c r="E1" s="20" t="s">
        <v>210</v>
      </c>
      <c r="F1" s="20" t="s">
        <v>122</v>
      </c>
      <c r="G1" s="20" t="s">
        <v>123</v>
      </c>
      <c r="H1" s="21" t="s">
        <v>101</v>
      </c>
      <c r="I1" s="20" t="s">
        <v>32</v>
      </c>
      <c r="J1" s="20" t="s">
        <v>140</v>
      </c>
      <c r="K1" s="20" t="s">
        <v>141</v>
      </c>
      <c r="L1" s="20" t="s">
        <v>211</v>
      </c>
      <c r="M1" s="27" t="s">
        <v>196</v>
      </c>
      <c r="N1" s="25" t="s">
        <v>146</v>
      </c>
      <c r="O1" s="20" t="s">
        <v>144</v>
      </c>
      <c r="P1" s="27" t="s">
        <v>150</v>
      </c>
      <c r="Q1" s="20" t="s">
        <v>147</v>
      </c>
      <c r="R1" s="20" t="s">
        <v>148</v>
      </c>
      <c r="S1" s="26" t="s">
        <v>149</v>
      </c>
      <c r="T1" s="20" t="s">
        <v>151</v>
      </c>
      <c r="U1" s="20" t="s">
        <v>5</v>
      </c>
      <c r="V1" s="20" t="s">
        <v>6</v>
      </c>
      <c r="W1" s="20" t="s">
        <v>7</v>
      </c>
      <c r="X1" s="20" t="s">
        <v>8</v>
      </c>
      <c r="Y1" s="20" t="s">
        <v>10</v>
      </c>
      <c r="Z1" s="20" t="s">
        <v>56</v>
      </c>
      <c r="AA1" s="20" t="s">
        <v>59</v>
      </c>
      <c r="AB1" s="20" t="s">
        <v>11</v>
      </c>
      <c r="AC1" s="20" t="s">
        <v>12</v>
      </c>
      <c r="AD1" s="20" t="s">
        <v>13</v>
      </c>
      <c r="AE1" s="20" t="s">
        <v>40</v>
      </c>
      <c r="AF1" s="20" t="s">
        <v>153</v>
      </c>
      <c r="AG1" s="20" t="s">
        <v>154</v>
      </c>
      <c r="AH1" s="20" t="s">
        <v>155</v>
      </c>
      <c r="AI1" s="20" t="s">
        <v>156</v>
      </c>
      <c r="AJ1" s="25" t="s">
        <v>157</v>
      </c>
      <c r="AK1" s="20" t="s">
        <v>102</v>
      </c>
      <c r="AL1" s="20" t="s">
        <v>207</v>
      </c>
      <c r="AM1" s="20" t="s">
        <v>73</v>
      </c>
    </row>
    <row r="2" spans="1:39" ht="17" thickBot="1">
      <c r="A2" t="s">
        <v>324</v>
      </c>
      <c r="B2" s="42" t="s">
        <v>27</v>
      </c>
      <c r="C2" s="32" t="s">
        <v>57</v>
      </c>
      <c r="D2" s="40" t="str">
        <f>IF(TestCaseConfig!$B$2="Yes","Yes","No")</f>
        <v>Yes</v>
      </c>
      <c r="E2" s="31" t="str" cm="1">
        <f t="array" ref="E2">_xlfn.XLOOKUP($A2,DataColumnRange,_xlfn.XLOOKUP(E$1,dataRowRange,ActualDataRange))</f>
        <v>FRESH</v>
      </c>
      <c r="F2" s="31" t="str" cm="1">
        <f t="array" ref="F2">_xlfn.XLOOKUP($A2,DataColumnRange,_xlfn.XLOOKUP(F$1,dataRowRange,ActualDataRange))</f>
        <v>sumit.choudhary@delta.com</v>
      </c>
      <c r="G2" s="31" t="str" cm="1">
        <f t="array" ref="G2">_xlfn.XLOOKUP($A2,DataColumnRange,_xlfn.XLOOKUP(G$1,dataRowRange,ActualDataRange))</f>
        <v>Delta2</v>
      </c>
      <c r="H2" s="31" t="b" cm="1">
        <f t="array" ref="H2">_xlfn.XLOOKUP($A2,DataColumnRange,_xlfn.XLOOKUP(H$1,dataRowRange,ActualDataRange))</f>
        <v>1</v>
      </c>
      <c r="I2" s="31" t="str" cm="1">
        <f t="array" ref="I2">_xlfn.XLOOKUP($A2,DataColumnRange,_xlfn.XLOOKUP(I$1,dataRowRange,ActualDataRange))</f>
        <v>NA</v>
      </c>
      <c r="J2" s="31" t="str" cm="1">
        <f t="array" ref="J2">_xlfn.XLOOKUP($A2,DataColumnRange,_xlfn.XLOOKUP(J$1,dataRowRange,ActualDataRange))</f>
        <v>ATL</v>
      </c>
      <c r="K2" s="31" t="str" cm="1">
        <f t="array" ref="K2">_xlfn.XLOOKUP($A2,DataColumnRange,_xlfn.XLOOKUP(K$1,dataRowRange,ActualDataRange))</f>
        <v>MSP</v>
      </c>
      <c r="L2" s="31" t="str" cm="1">
        <f t="array" ref="L2">_xlfn.XLOOKUP($A2,DataColumnRange,_xlfn.XLOOKUP(L$1,dataRowRange,ActualDataRange))</f>
        <v>Fresh 1 - Active container</v>
      </c>
      <c r="M2" s="31" t="str" cm="1">
        <f t="array" ref="M2">_xlfn.XLOOKUP($A2,DataColumnRange,_xlfn.XLOOKUP(M$1,dataRowRange,ActualDataRange))</f>
        <v>Test Perishables</v>
      </c>
      <c r="N2" s="31" cm="1">
        <f t="array" ref="N2">_xlfn.XLOOKUP($A2,DataColumnRange,_xlfn.XLOOKUP(N$1,dataRowRange,ActualDataRange))</f>
        <v>11</v>
      </c>
      <c r="O2" s="31" t="str" cm="1">
        <f t="array" ref="O2">_xlfn.XLOOKUP($A2,DataColumnRange,_xlfn.XLOOKUP(O$1,dataRowRange,ActualDataRange))</f>
        <v>KG</v>
      </c>
      <c r="P2" s="31" cm="1">
        <f t="array" ref="P2">_xlfn.XLOOKUP($A2,DataColumnRange,_xlfn.XLOOKUP(P$1,dataRowRange,ActualDataRange))</f>
        <v>1</v>
      </c>
      <c r="Q2" s="31" cm="1">
        <f t="array" ref="Q2">_xlfn.XLOOKUP($A2,DataColumnRange,_xlfn.XLOOKUP(Q$1,dataRowRange,ActualDataRange))</f>
        <v>10</v>
      </c>
      <c r="R2" s="31" cm="1">
        <f t="array" ref="R2">_xlfn.XLOOKUP($A2,DataColumnRange,_xlfn.XLOOKUP(R$1,dataRowRange,ActualDataRange))</f>
        <v>10</v>
      </c>
      <c r="S2" s="31" cm="1">
        <f t="array" ref="S2">_xlfn.XLOOKUP($A2,DataColumnRange,_xlfn.XLOOKUP(S$1,dataRowRange,ActualDataRange))</f>
        <v>10</v>
      </c>
      <c r="T2" s="31" t="str" cm="1">
        <f t="array" ref="T2">_xlfn.XLOOKUP($A2,DataColumnRange,_xlfn.XLOOKUP(T$1,dataRowRange,ActualDataRange))</f>
        <v>CM</v>
      </c>
      <c r="U2" s="31" t="str" cm="1">
        <f t="array" ref="U2">_xlfn.XLOOKUP($A2,DataColumnRange,_xlfn.XLOOKUP(U$1,dataRowRange,ActualDataRange))</f>
        <v>NA</v>
      </c>
      <c r="V2" s="31" t="str" cm="1">
        <f t="array" ref="V2">_xlfn.XLOOKUP($A2,DataColumnRange,_xlfn.XLOOKUP(V$1,dataRowRange,ActualDataRange))</f>
        <v>No</v>
      </c>
      <c r="W2" s="31" t="str" cm="1">
        <f t="array" ref="W2">_xlfn.XLOOKUP($A2,DataColumnRange,_xlfn.XLOOKUP(W$1,dataRowRange,ActualDataRange))</f>
        <v>No</v>
      </c>
      <c r="X2" s="31" t="str" cm="1">
        <f t="array" ref="X2">_xlfn.XLOOKUP($A2,DataColumnRange,_xlfn.XLOOKUP(X$1,dataRowRange,ActualDataRange))</f>
        <v>No</v>
      </c>
      <c r="Y2" s="31" cm="1">
        <f t="array" ref="Y2">_xlfn.XLOOKUP($A2,DataColumnRange,_xlfn.XLOOKUP(Y$1,dataRowRange,ActualDataRange))</f>
        <v>3</v>
      </c>
      <c r="Z2" s="31" t="str" cm="1">
        <f t="array" ref="Z2">_xlfn.XLOOKUP($A2,DataColumnRange,_xlfn.XLOOKUP(Z$1,dataRowRange,ActualDataRange))</f>
        <v>No</v>
      </c>
      <c r="AA2" s="31" t="str" cm="1">
        <f t="array" ref="AA2">_xlfn.XLOOKUP($A2,DataColumnRange,_xlfn.XLOOKUP(AA$1,dataRowRange,ActualDataRange))</f>
        <v>Other</v>
      </c>
      <c r="AB2" s="31" t="str" cm="1">
        <f t="array" ref="AB2">_xlfn.XLOOKUP($A2,DataColumnRange,_xlfn.XLOOKUP(AB$1,dataRowRange,ActualDataRange))</f>
        <v>000260018</v>
      </c>
      <c r="AC2" s="31" t="str" cm="1">
        <f t="array" ref="AC2">_xlfn.XLOOKUP($A2,DataColumnRange,_xlfn.XLOOKUP(AC$1,dataRowRange,ActualDataRange))</f>
        <v>GeneralCargoTemplate</v>
      </c>
      <c r="AD2" s="31" t="str" cm="1">
        <f t="array" ref="AD2">_xlfn.XLOOKUP($A2,DataColumnRange,_xlfn.XLOOKUP(AD$1,dataRowRange,ActualDataRange))</f>
        <v>CreditCard</v>
      </c>
      <c r="AE2" s="31" t="str" cm="1">
        <f t="array" ref="AE2">_xlfn.XLOOKUP($A2,DataColumnRange,_xlfn.XLOOKUP(AE$1,dataRowRange,ActualDataRange))</f>
        <v>NA</v>
      </c>
      <c r="AF2" s="31" t="str" cm="1">
        <f t="array" ref="AF2">_xlfn.XLOOKUP($A2,DataColumnRange,_xlfn.XLOOKUP(AF$1,dataRowRange,ActualDataRange))</f>
        <v>Test1</v>
      </c>
      <c r="AG2" s="31" t="str" cm="1">
        <f t="array" ref="AG2">_xlfn.XLOOKUP($A2,DataColumnRange,_xlfn.XLOOKUP(AG$1,dataRowRange,ActualDataRange))</f>
        <v>Test2</v>
      </c>
      <c r="AH2" s="31" t="str" cm="1">
        <f t="array" ref="AH2">_xlfn.XLOOKUP($A2,DataColumnRange,_xlfn.XLOOKUP(AH$1,dataRowRange,ActualDataRange))</f>
        <v>Atlanta</v>
      </c>
      <c r="AI2" s="31" t="str" cm="1">
        <f t="array" ref="AI2">_xlfn.XLOOKUP($A2,DataColumnRange,_xlfn.XLOOKUP(AI$1,dataRowRange,ActualDataRange))</f>
        <v>Georgia</v>
      </c>
      <c r="AJ2" s="31" cm="1">
        <f t="array" ref="AJ2">_xlfn.XLOOKUP($A2,DataColumnRange,_xlfn.XLOOKUP(AJ$1,dataRowRange,ActualDataRange))</f>
        <v>55055</v>
      </c>
      <c r="AK2" s="31" t="str" cm="1">
        <f t="array" ref="AK2">_xlfn.XLOOKUP($A2,DataColumnRange,_xlfn.XLOOKUP(AK$1,dataRowRange,ActualDataRange))</f>
        <v>000075010</v>
      </c>
      <c r="AL2" s="31" t="str" cm="1">
        <f t="array" ref="AL2">_xlfn.XLOOKUP($A2,DataColumnRange,_xlfn.XLOOKUP(AL$1,dataRowRange,ActualDataRange))</f>
        <v>Domestic</v>
      </c>
      <c r="AM2" s="31" cm="1">
        <f t="array" ref="AM2">_xlfn.XLOOKUP($A2,DataColumnRange,_xlfn.XLOOKUP(AM$1,dataRowRange,ActualDataRange))</f>
        <v>0</v>
      </c>
    </row>
    <row r="3" spans="1:39" ht="17" thickBot="1">
      <c r="A3" t="s">
        <v>325</v>
      </c>
      <c r="B3" s="43" t="s">
        <v>27</v>
      </c>
      <c r="C3" s="32" t="s">
        <v>115</v>
      </c>
      <c r="D3" s="40" t="str">
        <f>IF(TestCaseConfig!$B$2="Yes","Yes","No")</f>
        <v>Yes</v>
      </c>
      <c r="E3" s="31" t="str" cm="1">
        <f t="array" ref="E3">_xlfn.XLOOKUP($A3,DataColumnRange,_xlfn.XLOOKUP(E$1,dataRowRange,ActualDataRange))</f>
        <v>FRESH</v>
      </c>
      <c r="F3" s="31" t="str" cm="1">
        <f t="array" ref="F3">_xlfn.XLOOKUP($A3,DataColumnRange,_xlfn.XLOOKUP(F$1,dataRowRange,ActualDataRange))</f>
        <v>sumit.choudhary@delta.com</v>
      </c>
      <c r="G3" s="31" t="str" cm="1">
        <f t="array" ref="G3">_xlfn.XLOOKUP($A3,DataColumnRange,_xlfn.XLOOKUP(G$1,dataRowRange,ActualDataRange))</f>
        <v>Delta2</v>
      </c>
      <c r="H3" s="31" t="b" cm="1">
        <f t="array" ref="H3">_xlfn.XLOOKUP($A3,DataColumnRange,_xlfn.XLOOKUP(H$1,dataRowRange,ActualDataRange))</f>
        <v>1</v>
      </c>
      <c r="I3" s="31" t="str" cm="1">
        <f t="array" ref="I3">_xlfn.XLOOKUP($A3,DataColumnRange,_xlfn.XLOOKUP(I$1,dataRowRange,ActualDataRange))</f>
        <v>NA</v>
      </c>
      <c r="J3" s="31" t="str" cm="1">
        <f t="array" ref="J3">_xlfn.XLOOKUP($A3,DataColumnRange,_xlfn.XLOOKUP(J$1,dataRowRange,ActualDataRange))</f>
        <v>ATL</v>
      </c>
      <c r="K3" s="31" t="str" cm="1">
        <f t="array" ref="K3">_xlfn.XLOOKUP($A3,DataColumnRange,_xlfn.XLOOKUP(K$1,dataRowRange,ActualDataRange))</f>
        <v>MSP</v>
      </c>
      <c r="L3" s="31" t="str" cm="1">
        <f t="array" ref="L3">_xlfn.XLOOKUP($A3,DataColumnRange,_xlfn.XLOOKUP(L$1,dataRowRange,ActualDataRange))</f>
        <v>Fresh 2 - Temperature controlled between +2°C to 8°C</v>
      </c>
      <c r="M3" s="31" t="str" cm="1">
        <f t="array" ref="M3">_xlfn.XLOOKUP($A3,DataColumnRange,_xlfn.XLOOKUP(M$1,dataRowRange,ActualDataRange))</f>
        <v>Test Perishables</v>
      </c>
      <c r="N3" s="31" cm="1">
        <f t="array" ref="N3">_xlfn.XLOOKUP($A3,DataColumnRange,_xlfn.XLOOKUP(N$1,dataRowRange,ActualDataRange))</f>
        <v>12</v>
      </c>
      <c r="O3" s="31" t="str" cm="1">
        <f t="array" ref="O3">_xlfn.XLOOKUP($A3,DataColumnRange,_xlfn.XLOOKUP(O$1,dataRowRange,ActualDataRange))</f>
        <v>LB</v>
      </c>
      <c r="P3" s="31" cm="1">
        <f t="array" ref="P3">_xlfn.XLOOKUP($A3,DataColumnRange,_xlfn.XLOOKUP(P$1,dataRowRange,ActualDataRange))</f>
        <v>1</v>
      </c>
      <c r="Q3" s="31" cm="1">
        <f t="array" ref="Q3">_xlfn.XLOOKUP($A3,DataColumnRange,_xlfn.XLOOKUP(Q$1,dataRowRange,ActualDataRange))</f>
        <v>10</v>
      </c>
      <c r="R3" s="31" cm="1">
        <f t="array" ref="R3">_xlfn.XLOOKUP($A3,DataColumnRange,_xlfn.XLOOKUP(R$1,dataRowRange,ActualDataRange))</f>
        <v>10</v>
      </c>
      <c r="S3" s="31" cm="1">
        <f t="array" ref="S3">_xlfn.XLOOKUP($A3,DataColumnRange,_xlfn.XLOOKUP(S$1,dataRowRange,ActualDataRange))</f>
        <v>10</v>
      </c>
      <c r="T3" s="31" t="str" cm="1">
        <f t="array" ref="T3">_xlfn.XLOOKUP($A3,DataColumnRange,_xlfn.XLOOKUP(T$1,dataRowRange,ActualDataRange))</f>
        <v>IN</v>
      </c>
      <c r="U3" s="31" t="str" cm="1">
        <f t="array" ref="U3">_xlfn.XLOOKUP($A3,DataColumnRange,_xlfn.XLOOKUP(U$1,dataRowRange,ActualDataRange))</f>
        <v>Cubic Feet</v>
      </c>
      <c r="V3" s="31" t="str" cm="1">
        <f t="array" ref="V3">_xlfn.XLOOKUP($A3,DataColumnRange,_xlfn.XLOOKUP(V$1,dataRowRange,ActualDataRange))</f>
        <v>No</v>
      </c>
      <c r="W3" s="31" t="str" cm="1">
        <f t="array" ref="W3">_xlfn.XLOOKUP($A3,DataColumnRange,_xlfn.XLOOKUP(W$1,dataRowRange,ActualDataRange))</f>
        <v>No</v>
      </c>
      <c r="X3" s="31" t="str" cm="1">
        <f t="array" ref="X3">_xlfn.XLOOKUP($A3,DataColumnRange,_xlfn.XLOOKUP(X$1,dataRowRange,ActualDataRange))</f>
        <v>No</v>
      </c>
      <c r="Y3" s="31" cm="1">
        <f t="array" ref="Y3">_xlfn.XLOOKUP($A3,DataColumnRange,_xlfn.XLOOKUP(Y$1,dataRowRange,ActualDataRange))</f>
        <v>4</v>
      </c>
      <c r="Z3" s="31" t="str" cm="1">
        <f t="array" ref="Z3">_xlfn.XLOOKUP($A3,DataColumnRange,_xlfn.XLOOKUP(Z$1,dataRowRange,ActualDataRange))</f>
        <v>No</v>
      </c>
      <c r="AA3" s="31" t="str" cm="1">
        <f t="array" ref="AA3">_xlfn.XLOOKUP($A3,DataColumnRange,_xlfn.XLOOKUP(AA$1,dataRowRange,ActualDataRange))</f>
        <v>NA</v>
      </c>
      <c r="AB3" s="31" t="str" cm="1">
        <f t="array" ref="AB3">_xlfn.XLOOKUP($A3,DataColumnRange,_xlfn.XLOOKUP(AB$1,dataRowRange,ActualDataRange))</f>
        <v>000260018</v>
      </c>
      <c r="AC3" s="31" t="str" cm="1">
        <f t="array" ref="AC3">_xlfn.XLOOKUP($A3,DataColumnRange,_xlfn.XLOOKUP(AC$1,dataRowRange,ActualDataRange))</f>
        <v>GeneralCargoTemplate</v>
      </c>
      <c r="AD3" s="31" t="str" cm="1">
        <f t="array" ref="AD3">_xlfn.XLOOKUP($A3,DataColumnRange,_xlfn.XLOOKUP(AD$1,dataRowRange,ActualDataRange))</f>
        <v>CreditCard</v>
      </c>
      <c r="AE3" s="31" t="str" cm="1">
        <f t="array" ref="AE3">_xlfn.XLOOKUP($A3,DataColumnRange,_xlfn.XLOOKUP(AE$1,dataRowRange,ActualDataRange))</f>
        <v>NA</v>
      </c>
      <c r="AF3" s="31" t="str" cm="1">
        <f t="array" ref="AF3">_xlfn.XLOOKUP($A3,DataColumnRange,_xlfn.XLOOKUP(AF$1,dataRowRange,ActualDataRange))</f>
        <v>Test1</v>
      </c>
      <c r="AG3" s="31" t="str" cm="1">
        <f t="array" ref="AG3">_xlfn.XLOOKUP($A3,DataColumnRange,_xlfn.XLOOKUP(AG$1,dataRowRange,ActualDataRange))</f>
        <v>Test2</v>
      </c>
      <c r="AH3" s="31" t="str" cm="1">
        <f t="array" ref="AH3">_xlfn.XLOOKUP($A3,DataColumnRange,_xlfn.XLOOKUP(AH$1,dataRowRange,ActualDataRange))</f>
        <v>Atlanta</v>
      </c>
      <c r="AI3" s="31" t="str" cm="1">
        <f t="array" ref="AI3">_xlfn.XLOOKUP($A3,DataColumnRange,_xlfn.XLOOKUP(AI$1,dataRowRange,ActualDataRange))</f>
        <v>Georgia</v>
      </c>
      <c r="AJ3" s="31" cm="1">
        <f t="array" ref="AJ3">_xlfn.XLOOKUP($A3,DataColumnRange,_xlfn.XLOOKUP(AJ$1,dataRowRange,ActualDataRange))</f>
        <v>55055</v>
      </c>
      <c r="AK3" s="31" t="str" cm="1">
        <f t="array" ref="AK3">_xlfn.XLOOKUP($A3,DataColumnRange,_xlfn.XLOOKUP(AK$1,dataRowRange,ActualDataRange))</f>
        <v>000075010</v>
      </c>
      <c r="AL3" s="31" t="str" cm="1">
        <f t="array" ref="AL3">_xlfn.XLOOKUP($A3,DataColumnRange,_xlfn.XLOOKUP(AL$1,dataRowRange,ActualDataRange))</f>
        <v>Domestic</v>
      </c>
      <c r="AM3" s="31" cm="1">
        <f t="array" ref="AM3">_xlfn.XLOOKUP($A3,DataColumnRange,_xlfn.XLOOKUP(AM$1,dataRowRange,ActualDataRange))</f>
        <v>0</v>
      </c>
    </row>
    <row r="4" spans="1:39" ht="17" thickBot="1">
      <c r="A4" t="s">
        <v>326</v>
      </c>
      <c r="B4" s="43" t="s">
        <v>27</v>
      </c>
      <c r="C4" s="32" t="s">
        <v>116</v>
      </c>
      <c r="D4" s="40" t="str">
        <f>IF(TestCaseConfig!$B$2="Yes","Yes","No")</f>
        <v>Yes</v>
      </c>
      <c r="E4" s="31" t="str" cm="1">
        <f t="array" ref="E4">_xlfn.XLOOKUP($A4,DataColumnRange,_xlfn.XLOOKUP(E$1,dataRowRange,ActualDataRange))</f>
        <v>DSH</v>
      </c>
      <c r="F4" s="31" t="str" cm="1">
        <f t="array" ref="F4">_xlfn.XLOOKUP($A4,DataColumnRange,_xlfn.XLOOKUP(F$1,dataRowRange,ActualDataRange))</f>
        <v>sumit.choudhary@delta.com</v>
      </c>
      <c r="G4" s="31" t="str" cm="1">
        <f t="array" ref="G4">_xlfn.XLOOKUP($A4,DataColumnRange,_xlfn.XLOOKUP(G$1,dataRowRange,ActualDataRange))</f>
        <v>Delta2</v>
      </c>
      <c r="H4" s="31" t="b" cm="1">
        <f t="array" ref="H4">_xlfn.XLOOKUP($A4,DataColumnRange,_xlfn.XLOOKUP(H$1,dataRowRange,ActualDataRange))</f>
        <v>1</v>
      </c>
      <c r="I4" s="31" t="str" cm="1">
        <f t="array" ref="I4">_xlfn.XLOOKUP($A4,DataColumnRange,_xlfn.XLOOKUP(I$1,dataRowRange,ActualDataRange))</f>
        <v>NA</v>
      </c>
      <c r="J4" s="31" t="str" cm="1">
        <f t="array" ref="J4">_xlfn.XLOOKUP($A4,DataColumnRange,_xlfn.XLOOKUP(J$1,dataRowRange,ActualDataRange))</f>
        <v>ATL</v>
      </c>
      <c r="K4" s="31" t="str" cm="1">
        <f t="array" ref="K4">_xlfn.XLOOKUP($A4,DataColumnRange,_xlfn.XLOOKUP(K$1,dataRowRange,ActualDataRange))</f>
        <v>MSP</v>
      </c>
      <c r="L4" s="31" t="str" cm="1">
        <f t="array" ref="L4">_xlfn.XLOOKUP($A4,DataColumnRange,_xlfn.XLOOKUP(L$1,dataRowRange,ActualDataRange))</f>
        <v>Fresh 3 - Flowers between +2°C to 25°C</v>
      </c>
      <c r="M4" s="31" t="str" cm="1">
        <f t="array" ref="M4">_xlfn.XLOOKUP($A4,DataColumnRange,_xlfn.XLOOKUP(M$1,dataRowRange,ActualDataRange))</f>
        <v>Test Perishables</v>
      </c>
      <c r="N4" s="31" cm="1">
        <f t="array" ref="N4">_xlfn.XLOOKUP($A4,DataColumnRange,_xlfn.XLOOKUP(N$1,dataRowRange,ActualDataRange))</f>
        <v>13</v>
      </c>
      <c r="O4" s="31" t="str" cm="1">
        <f t="array" ref="O4">_xlfn.XLOOKUP($A4,DataColumnRange,_xlfn.XLOOKUP(O$1,dataRowRange,ActualDataRange))</f>
        <v>KG</v>
      </c>
      <c r="P4" s="31" cm="1">
        <f t="array" ref="P4">_xlfn.XLOOKUP($A4,DataColumnRange,_xlfn.XLOOKUP(P$1,dataRowRange,ActualDataRange))</f>
        <v>1</v>
      </c>
      <c r="Q4" s="31" cm="1">
        <f t="array" ref="Q4">_xlfn.XLOOKUP($A4,DataColumnRange,_xlfn.XLOOKUP(Q$1,dataRowRange,ActualDataRange))</f>
        <v>10</v>
      </c>
      <c r="R4" s="31" cm="1">
        <f t="array" ref="R4">_xlfn.XLOOKUP($A4,DataColumnRange,_xlfn.XLOOKUP(R$1,dataRowRange,ActualDataRange))</f>
        <v>10</v>
      </c>
      <c r="S4" s="31" cm="1">
        <f t="array" ref="S4">_xlfn.XLOOKUP($A4,DataColumnRange,_xlfn.XLOOKUP(S$1,dataRowRange,ActualDataRange))</f>
        <v>10</v>
      </c>
      <c r="T4" s="31" t="str" cm="1">
        <f t="array" ref="T4">_xlfn.XLOOKUP($A4,DataColumnRange,_xlfn.XLOOKUP(T$1,dataRowRange,ActualDataRange))</f>
        <v>CM</v>
      </c>
      <c r="U4" s="31" t="str" cm="1">
        <f t="array" ref="U4">_xlfn.XLOOKUP($A4,DataColumnRange,_xlfn.XLOOKUP(U$1,dataRowRange,ActualDataRange))</f>
        <v>Cubic Feet</v>
      </c>
      <c r="V4" s="31" t="str" cm="1">
        <f t="array" ref="V4">_xlfn.XLOOKUP($A4,DataColumnRange,_xlfn.XLOOKUP(V$1,dataRowRange,ActualDataRange))</f>
        <v>No</v>
      </c>
      <c r="W4" s="31" t="str" cm="1">
        <f t="array" ref="W4">_xlfn.XLOOKUP($A4,DataColumnRange,_xlfn.XLOOKUP(W$1,dataRowRange,ActualDataRange))</f>
        <v>No</v>
      </c>
      <c r="X4" s="31" t="str" cm="1">
        <f t="array" ref="X4">_xlfn.XLOOKUP($A4,DataColumnRange,_xlfn.XLOOKUP(X$1,dataRowRange,ActualDataRange))</f>
        <v>No</v>
      </c>
      <c r="Y4" s="31" cm="1">
        <f t="array" ref="Y4">_xlfn.XLOOKUP($A4,DataColumnRange,_xlfn.XLOOKUP(Y$1,dataRowRange,ActualDataRange))</f>
        <v>5</v>
      </c>
      <c r="Z4" s="31" t="str" cm="1">
        <f t="array" ref="Z4">_xlfn.XLOOKUP($A4,DataColumnRange,_xlfn.XLOOKUP(Z$1,dataRowRange,ActualDataRange))</f>
        <v>No</v>
      </c>
      <c r="AA4" s="31" t="str" cm="1">
        <f t="array" ref="AA4">_xlfn.XLOOKUP($A4,DataColumnRange,_xlfn.XLOOKUP(AA$1,dataRowRange,ActualDataRange))</f>
        <v>NA</v>
      </c>
      <c r="AB4" s="31" t="str" cm="1">
        <f t="array" ref="AB4">_xlfn.XLOOKUP($A4,DataColumnRange,_xlfn.XLOOKUP(AB$1,dataRowRange,ActualDataRange))</f>
        <v>000260018</v>
      </c>
      <c r="AC4" s="31" t="str" cm="1">
        <f t="array" ref="AC4">_xlfn.XLOOKUP($A4,DataColumnRange,_xlfn.XLOOKUP(AC$1,dataRowRange,ActualDataRange))</f>
        <v>GeneralCargoTemplate</v>
      </c>
      <c r="AD4" s="31" t="str" cm="1">
        <f t="array" ref="AD4">_xlfn.XLOOKUP($A4,DataColumnRange,_xlfn.XLOOKUP(AD$1,dataRowRange,ActualDataRange))</f>
        <v>CreditCard</v>
      </c>
      <c r="AE4" s="31" t="str" cm="1">
        <f t="array" ref="AE4">_xlfn.XLOOKUP($A4,DataColumnRange,_xlfn.XLOOKUP(AE$1,dataRowRange,ActualDataRange))</f>
        <v>NA</v>
      </c>
      <c r="AF4" s="31" t="str" cm="1">
        <f t="array" ref="AF4">_xlfn.XLOOKUP($A4,DataColumnRange,_xlfn.XLOOKUP(AF$1,dataRowRange,ActualDataRange))</f>
        <v>Test1</v>
      </c>
      <c r="AG4" s="31" t="str" cm="1">
        <f t="array" ref="AG4">_xlfn.XLOOKUP($A4,DataColumnRange,_xlfn.XLOOKUP(AG$1,dataRowRange,ActualDataRange))</f>
        <v>Test2</v>
      </c>
      <c r="AH4" s="31" t="str" cm="1">
        <f t="array" ref="AH4">_xlfn.XLOOKUP($A4,DataColumnRange,_xlfn.XLOOKUP(AH$1,dataRowRange,ActualDataRange))</f>
        <v>Atlanta</v>
      </c>
      <c r="AI4" s="31" t="str" cm="1">
        <f t="array" ref="AI4">_xlfn.XLOOKUP($A4,DataColumnRange,_xlfn.XLOOKUP(AI$1,dataRowRange,ActualDataRange))</f>
        <v>Georgia</v>
      </c>
      <c r="AJ4" s="31" cm="1">
        <f t="array" ref="AJ4">_xlfn.XLOOKUP($A4,DataColumnRange,_xlfn.XLOOKUP(AJ$1,dataRowRange,ActualDataRange))</f>
        <v>55055</v>
      </c>
      <c r="AK4" s="31" t="str" cm="1">
        <f t="array" ref="AK4">_xlfn.XLOOKUP($A4,DataColumnRange,_xlfn.XLOOKUP(AK$1,dataRowRange,ActualDataRange))</f>
        <v>000075010</v>
      </c>
      <c r="AL4" s="31" t="str" cm="1">
        <f t="array" ref="AL4">_xlfn.XLOOKUP($A4,DataColumnRange,_xlfn.XLOOKUP(AL$1,dataRowRange,ActualDataRange))</f>
        <v>Domestic</v>
      </c>
      <c r="AM4" s="31" cm="1">
        <f t="array" ref="AM4">_xlfn.XLOOKUP($A4,DataColumnRange,_xlfn.XLOOKUP(AM$1,dataRowRange,ActualDataRange))</f>
        <v>0</v>
      </c>
    </row>
    <row r="5" spans="1:39" ht="17" thickBot="1">
      <c r="A5" t="s">
        <v>327</v>
      </c>
      <c r="B5" s="43" t="s">
        <v>27</v>
      </c>
      <c r="C5" s="32" t="s">
        <v>69</v>
      </c>
      <c r="D5" s="40" t="str">
        <f>IF(TestCaseConfig!$B$2="Yes","Yes","No")</f>
        <v>Yes</v>
      </c>
      <c r="E5" s="31" t="str" cm="1">
        <f t="array" ref="E5">_xlfn.XLOOKUP($A5,DataColumnRange,_xlfn.XLOOKUP(E$1,dataRowRange,ActualDataRange))</f>
        <v>DHV</v>
      </c>
      <c r="F5" s="31" t="str" cm="1">
        <f t="array" ref="F5">_xlfn.XLOOKUP($A5,DataColumnRange,_xlfn.XLOOKUP(F$1,dataRowRange,ActualDataRange))</f>
        <v>sumit.choudhary@delta.com</v>
      </c>
      <c r="G5" s="31" t="str" cm="1">
        <f t="array" ref="G5">_xlfn.XLOOKUP($A5,DataColumnRange,_xlfn.XLOOKUP(G$1,dataRowRange,ActualDataRange))</f>
        <v>Delta2</v>
      </c>
      <c r="H5" s="31" t="b" cm="1">
        <f t="array" ref="H5">_xlfn.XLOOKUP($A5,DataColumnRange,_xlfn.XLOOKUP(H$1,dataRowRange,ActualDataRange))</f>
        <v>1</v>
      </c>
      <c r="I5" s="31" t="str" cm="1">
        <f t="array" ref="I5">_xlfn.XLOOKUP($A5,DataColumnRange,_xlfn.XLOOKUP(I$1,dataRowRange,ActualDataRange))</f>
        <v>NA</v>
      </c>
      <c r="J5" s="31" t="str" cm="1">
        <f t="array" ref="J5">_xlfn.XLOOKUP($A5,DataColumnRange,_xlfn.XLOOKUP(J$1,dataRowRange,ActualDataRange))</f>
        <v>ATL</v>
      </c>
      <c r="K5" s="31" t="str" cm="1">
        <f t="array" ref="K5">_xlfn.XLOOKUP($A5,DataColumnRange,_xlfn.XLOOKUP(K$1,dataRowRange,ActualDataRange))</f>
        <v>MSP</v>
      </c>
      <c r="L5" s="31" t="str" cm="1">
        <f t="array" ref="L5">_xlfn.XLOOKUP($A5,DataColumnRange,_xlfn.XLOOKUP(L$1,dataRowRange,ActualDataRange))</f>
        <v>Fresh 3 - Foodstuffs between +2°C to 25°C</v>
      </c>
      <c r="M5" s="31" t="str" cm="1">
        <f t="array" ref="M5">_xlfn.XLOOKUP($A5,DataColumnRange,_xlfn.XLOOKUP(M$1,dataRowRange,ActualDataRange))</f>
        <v>Test Perishables</v>
      </c>
      <c r="N5" s="31" cm="1">
        <f t="array" ref="N5">_xlfn.XLOOKUP($A5,DataColumnRange,_xlfn.XLOOKUP(N$1,dataRowRange,ActualDataRange))</f>
        <v>14</v>
      </c>
      <c r="O5" s="31" t="str" cm="1">
        <f t="array" ref="O5">_xlfn.XLOOKUP($A5,DataColumnRange,_xlfn.XLOOKUP(O$1,dataRowRange,ActualDataRange))</f>
        <v>LB</v>
      </c>
      <c r="P5" s="31" cm="1">
        <f t="array" ref="P5">_xlfn.XLOOKUP($A5,DataColumnRange,_xlfn.XLOOKUP(P$1,dataRowRange,ActualDataRange))</f>
        <v>1</v>
      </c>
      <c r="Q5" s="31" cm="1">
        <f t="array" ref="Q5">_xlfn.XLOOKUP($A5,DataColumnRange,_xlfn.XLOOKUP(Q$1,dataRowRange,ActualDataRange))</f>
        <v>10</v>
      </c>
      <c r="R5" s="31" cm="1">
        <f t="array" ref="R5">_xlfn.XLOOKUP($A5,DataColumnRange,_xlfn.XLOOKUP(R$1,dataRowRange,ActualDataRange))</f>
        <v>10</v>
      </c>
      <c r="S5" s="31" cm="1">
        <f t="array" ref="S5">_xlfn.XLOOKUP($A5,DataColumnRange,_xlfn.XLOOKUP(S$1,dataRowRange,ActualDataRange))</f>
        <v>10</v>
      </c>
      <c r="T5" s="31" t="str" cm="1">
        <f t="array" ref="T5">_xlfn.XLOOKUP($A5,DataColumnRange,_xlfn.XLOOKUP(T$1,dataRowRange,ActualDataRange))</f>
        <v>IN</v>
      </c>
      <c r="U5" s="31" t="str" cm="1">
        <f t="array" ref="U5">_xlfn.XLOOKUP($A5,DataColumnRange,_xlfn.XLOOKUP(U$1,dataRowRange,ActualDataRange))</f>
        <v>Cubic Feet</v>
      </c>
      <c r="V5" s="31" t="str" cm="1">
        <f t="array" ref="V5">_xlfn.XLOOKUP($A5,DataColumnRange,_xlfn.XLOOKUP(V$1,dataRowRange,ActualDataRange))</f>
        <v>No</v>
      </c>
      <c r="W5" s="31" t="str" cm="1">
        <f t="array" ref="W5">_xlfn.XLOOKUP($A5,DataColumnRange,_xlfn.XLOOKUP(W$1,dataRowRange,ActualDataRange))</f>
        <v>No</v>
      </c>
      <c r="X5" s="31" t="str" cm="1">
        <f t="array" ref="X5">_xlfn.XLOOKUP($A5,DataColumnRange,_xlfn.XLOOKUP(X$1,dataRowRange,ActualDataRange))</f>
        <v>No</v>
      </c>
      <c r="Y5" s="31" cm="1">
        <f t="array" ref="Y5">_xlfn.XLOOKUP($A5,DataColumnRange,_xlfn.XLOOKUP(Y$1,dataRowRange,ActualDataRange))</f>
        <v>6</v>
      </c>
      <c r="Z5" s="31" t="str" cm="1">
        <f t="array" ref="Z5">_xlfn.XLOOKUP($A5,DataColumnRange,_xlfn.XLOOKUP(Z$1,dataRowRange,ActualDataRange))</f>
        <v>No</v>
      </c>
      <c r="AA5" s="31" t="str" cm="1">
        <f t="array" ref="AA5">_xlfn.XLOOKUP($A5,DataColumnRange,_xlfn.XLOOKUP(AA$1,dataRowRange,ActualDataRange))</f>
        <v>NA</v>
      </c>
      <c r="AB5" s="31" t="str" cm="1">
        <f t="array" ref="AB5">_xlfn.XLOOKUP($A5,DataColumnRange,_xlfn.XLOOKUP(AB$1,dataRowRange,ActualDataRange))</f>
        <v>000260018</v>
      </c>
      <c r="AC5" s="31" t="str" cm="1">
        <f t="array" ref="AC5">_xlfn.XLOOKUP($A5,DataColumnRange,_xlfn.XLOOKUP(AC$1,dataRowRange,ActualDataRange))</f>
        <v>GeneralCargoTemplate</v>
      </c>
      <c r="AD5" s="31" t="str" cm="1">
        <f t="array" ref="AD5">_xlfn.XLOOKUP($A5,DataColumnRange,_xlfn.XLOOKUP(AD$1,dataRowRange,ActualDataRange))</f>
        <v>CreditCard</v>
      </c>
      <c r="AE5" s="31" t="str" cm="1">
        <f t="array" ref="AE5">_xlfn.XLOOKUP($A5,DataColumnRange,_xlfn.XLOOKUP(AE$1,dataRowRange,ActualDataRange))</f>
        <v>NA</v>
      </c>
      <c r="AF5" s="31" t="str" cm="1">
        <f t="array" ref="AF5">_xlfn.XLOOKUP($A5,DataColumnRange,_xlfn.XLOOKUP(AF$1,dataRowRange,ActualDataRange))</f>
        <v>Test1</v>
      </c>
      <c r="AG5" s="31" t="str" cm="1">
        <f t="array" ref="AG5">_xlfn.XLOOKUP($A5,DataColumnRange,_xlfn.XLOOKUP(AG$1,dataRowRange,ActualDataRange))</f>
        <v>Test2</v>
      </c>
      <c r="AH5" s="31" t="str" cm="1">
        <f t="array" ref="AH5">_xlfn.XLOOKUP($A5,DataColumnRange,_xlfn.XLOOKUP(AH$1,dataRowRange,ActualDataRange))</f>
        <v>Atlanta</v>
      </c>
      <c r="AI5" s="31" t="str" cm="1">
        <f t="array" ref="AI5">_xlfn.XLOOKUP($A5,DataColumnRange,_xlfn.XLOOKUP(AI$1,dataRowRange,ActualDataRange))</f>
        <v>Georgia</v>
      </c>
      <c r="AJ5" s="31" cm="1">
        <f t="array" ref="AJ5">_xlfn.XLOOKUP($A5,DataColumnRange,_xlfn.XLOOKUP(AJ$1,dataRowRange,ActualDataRange))</f>
        <v>55055</v>
      </c>
      <c r="AK5" s="31" t="str" cm="1">
        <f t="array" ref="AK5">_xlfn.XLOOKUP($A5,DataColumnRange,_xlfn.XLOOKUP(AK$1,dataRowRange,ActualDataRange))</f>
        <v>000075010</v>
      </c>
      <c r="AL5" s="31" t="str" cm="1">
        <f t="array" ref="AL5">_xlfn.XLOOKUP($A5,DataColumnRange,_xlfn.XLOOKUP(AL$1,dataRowRange,ActualDataRange))</f>
        <v>Domestic</v>
      </c>
      <c r="AM5" s="31" cm="1">
        <f t="array" ref="AM5">_xlfn.XLOOKUP($A5,DataColumnRange,_xlfn.XLOOKUP(AM$1,dataRowRange,ActualDataRange))</f>
        <v>0</v>
      </c>
    </row>
    <row r="6" spans="1:39" ht="17" thickBot="1">
      <c r="A6" t="s">
        <v>328</v>
      </c>
      <c r="B6" s="43" t="s">
        <v>27</v>
      </c>
      <c r="C6" s="32" t="s">
        <v>117</v>
      </c>
      <c r="D6" s="40" t="str">
        <f>IF(TestCaseConfig!$B$2="Yes","Yes","No")</f>
        <v>Yes</v>
      </c>
      <c r="E6" s="31" t="str" cm="1">
        <f t="array" ref="E6">_xlfn.XLOOKUP($A6,DataColumnRange,_xlfn.XLOOKUP(E$1,dataRowRange,ActualDataRange))</f>
        <v>DMD</v>
      </c>
      <c r="F6" s="31" t="str" cm="1">
        <f t="array" ref="F6">_xlfn.XLOOKUP($A6,DataColumnRange,_xlfn.XLOOKUP(F$1,dataRowRange,ActualDataRange))</f>
        <v>sumit.choudhary@delta.com</v>
      </c>
      <c r="G6" s="31" t="str" cm="1">
        <f t="array" ref="G6">_xlfn.XLOOKUP($A6,DataColumnRange,_xlfn.XLOOKUP(G$1,dataRowRange,ActualDataRange))</f>
        <v>Delta2</v>
      </c>
      <c r="H6" s="31" t="b" cm="1">
        <f t="array" ref="H6">_xlfn.XLOOKUP($A6,DataColumnRange,_xlfn.XLOOKUP(H$1,dataRowRange,ActualDataRange))</f>
        <v>1</v>
      </c>
      <c r="I6" s="31" t="str" cm="1">
        <f t="array" ref="I6">_xlfn.XLOOKUP($A6,DataColumnRange,_xlfn.XLOOKUP(I$1,dataRowRange,ActualDataRange))</f>
        <v>NA</v>
      </c>
      <c r="J6" s="31" t="str" cm="1">
        <f t="array" ref="J6">_xlfn.XLOOKUP($A6,DataColumnRange,_xlfn.XLOOKUP(J$1,dataRowRange,ActualDataRange))</f>
        <v>ATL</v>
      </c>
      <c r="K6" s="31" t="str" cm="1">
        <f t="array" ref="K6">_xlfn.XLOOKUP($A6,DataColumnRange,_xlfn.XLOOKUP(K$1,dataRowRange,ActualDataRange))</f>
        <v>MSP</v>
      </c>
      <c r="L6" s="31" t="str" cm="1">
        <f t="array" ref="L6">_xlfn.XLOOKUP($A6,DataColumnRange,_xlfn.XLOOKUP(L$1,dataRowRange,ActualDataRange))</f>
        <v>Fresh 3 - Seafood between +2°C to 25°C</v>
      </c>
      <c r="M6" s="31" t="str" cm="1">
        <f t="array" ref="M6">_xlfn.XLOOKUP($A6,DataColumnRange,_xlfn.XLOOKUP(M$1,dataRowRange,ActualDataRange))</f>
        <v>Test Perishables</v>
      </c>
      <c r="N6" s="31" cm="1">
        <f t="array" ref="N6">_xlfn.XLOOKUP($A6,DataColumnRange,_xlfn.XLOOKUP(N$1,dataRowRange,ActualDataRange))</f>
        <v>15</v>
      </c>
      <c r="O6" s="31" t="str" cm="1">
        <f t="array" ref="O6">_xlfn.XLOOKUP($A6,DataColumnRange,_xlfn.XLOOKUP(O$1,dataRowRange,ActualDataRange))</f>
        <v>KG</v>
      </c>
      <c r="P6" s="31" cm="1">
        <f t="array" ref="P6">_xlfn.XLOOKUP($A6,DataColumnRange,_xlfn.XLOOKUP(P$1,dataRowRange,ActualDataRange))</f>
        <v>1</v>
      </c>
      <c r="Q6" s="31" cm="1">
        <f t="array" ref="Q6">_xlfn.XLOOKUP($A6,DataColumnRange,_xlfn.XLOOKUP(Q$1,dataRowRange,ActualDataRange))</f>
        <v>10</v>
      </c>
      <c r="R6" s="31" cm="1">
        <f t="array" ref="R6">_xlfn.XLOOKUP($A6,DataColumnRange,_xlfn.XLOOKUP(R$1,dataRowRange,ActualDataRange))</f>
        <v>10</v>
      </c>
      <c r="S6" s="31" cm="1">
        <f t="array" ref="S6">_xlfn.XLOOKUP($A6,DataColumnRange,_xlfn.XLOOKUP(S$1,dataRowRange,ActualDataRange))</f>
        <v>10</v>
      </c>
      <c r="T6" s="31" t="str" cm="1">
        <f t="array" ref="T6">_xlfn.XLOOKUP($A6,DataColumnRange,_xlfn.XLOOKUP(T$1,dataRowRange,ActualDataRange))</f>
        <v>CM</v>
      </c>
      <c r="U6" s="31" t="str" cm="1">
        <f t="array" ref="U6">_xlfn.XLOOKUP($A6,DataColumnRange,_xlfn.XLOOKUP(U$1,dataRowRange,ActualDataRange))</f>
        <v>Cubic Feet</v>
      </c>
      <c r="V6" s="31" t="str" cm="1">
        <f t="array" ref="V6">_xlfn.XLOOKUP($A6,DataColumnRange,_xlfn.XLOOKUP(V$1,dataRowRange,ActualDataRange))</f>
        <v>No</v>
      </c>
      <c r="W6" s="31" t="str" cm="1">
        <f t="array" ref="W6">_xlfn.XLOOKUP($A6,DataColumnRange,_xlfn.XLOOKUP(W$1,dataRowRange,ActualDataRange))</f>
        <v>No</v>
      </c>
      <c r="X6" s="31" t="str" cm="1">
        <f t="array" ref="X6">_xlfn.XLOOKUP($A6,DataColumnRange,_xlfn.XLOOKUP(X$1,dataRowRange,ActualDataRange))</f>
        <v>No</v>
      </c>
      <c r="Y6" s="31" cm="1">
        <f t="array" ref="Y6">_xlfn.XLOOKUP($A6,DataColumnRange,_xlfn.XLOOKUP(Y$1,dataRowRange,ActualDataRange))</f>
        <v>7</v>
      </c>
      <c r="Z6" s="31" t="str" cm="1">
        <f t="array" ref="Z6">_xlfn.XLOOKUP($A6,DataColumnRange,_xlfn.XLOOKUP(Z$1,dataRowRange,ActualDataRange))</f>
        <v>No</v>
      </c>
      <c r="AA6" s="31" t="str" cm="1">
        <f t="array" ref="AA6">_xlfn.XLOOKUP($A6,DataColumnRange,_xlfn.XLOOKUP(AA$1,dataRowRange,ActualDataRange))</f>
        <v>NA</v>
      </c>
      <c r="AB6" s="31" t="str" cm="1">
        <f t="array" ref="AB6">_xlfn.XLOOKUP($A6,DataColumnRange,_xlfn.XLOOKUP(AB$1,dataRowRange,ActualDataRange))</f>
        <v>000260018</v>
      </c>
      <c r="AC6" s="31" t="str" cm="1">
        <f t="array" ref="AC6">_xlfn.XLOOKUP($A6,DataColumnRange,_xlfn.XLOOKUP(AC$1,dataRowRange,ActualDataRange))</f>
        <v>GeneralCargoTemplate</v>
      </c>
      <c r="AD6" s="31" t="str" cm="1">
        <f t="array" ref="AD6">_xlfn.XLOOKUP($A6,DataColumnRange,_xlfn.XLOOKUP(AD$1,dataRowRange,ActualDataRange))</f>
        <v>CreditCard</v>
      </c>
      <c r="AE6" s="31" t="str" cm="1">
        <f t="array" ref="AE6">_xlfn.XLOOKUP($A6,DataColumnRange,_xlfn.XLOOKUP(AE$1,dataRowRange,ActualDataRange))</f>
        <v>NA</v>
      </c>
      <c r="AF6" s="31" t="str" cm="1">
        <f t="array" ref="AF6">_xlfn.XLOOKUP($A6,DataColumnRange,_xlfn.XLOOKUP(AF$1,dataRowRange,ActualDataRange))</f>
        <v>Test1</v>
      </c>
      <c r="AG6" s="31" t="str" cm="1">
        <f t="array" ref="AG6">_xlfn.XLOOKUP($A6,DataColumnRange,_xlfn.XLOOKUP(AG$1,dataRowRange,ActualDataRange))</f>
        <v>Test2</v>
      </c>
      <c r="AH6" s="31" t="str" cm="1">
        <f t="array" ref="AH6">_xlfn.XLOOKUP($A6,DataColumnRange,_xlfn.XLOOKUP(AH$1,dataRowRange,ActualDataRange))</f>
        <v>Atlanta</v>
      </c>
      <c r="AI6" s="31" t="str" cm="1">
        <f t="array" ref="AI6">_xlfn.XLOOKUP($A6,DataColumnRange,_xlfn.XLOOKUP(AI$1,dataRowRange,ActualDataRange))</f>
        <v>Georgia</v>
      </c>
      <c r="AJ6" s="31" cm="1">
        <f t="array" ref="AJ6">_xlfn.XLOOKUP($A6,DataColumnRange,_xlfn.XLOOKUP(AJ$1,dataRowRange,ActualDataRange))</f>
        <v>55055</v>
      </c>
      <c r="AK6" s="31" t="str" cm="1">
        <f t="array" ref="AK6">_xlfn.XLOOKUP($A6,DataColumnRange,_xlfn.XLOOKUP(AK$1,dataRowRange,ActualDataRange))</f>
        <v>000075010</v>
      </c>
      <c r="AL6" s="31" t="str" cm="1">
        <f t="array" ref="AL6">_xlfn.XLOOKUP($A6,DataColumnRange,_xlfn.XLOOKUP(AL$1,dataRowRange,ActualDataRange))</f>
        <v>Domestic</v>
      </c>
      <c r="AM6" s="31" cm="1">
        <f t="array" ref="AM6">_xlfn.XLOOKUP($A6,DataColumnRange,_xlfn.XLOOKUP(AM$1,dataRowRange,ActualDataRange))</f>
        <v>0</v>
      </c>
    </row>
    <row r="7" spans="1:39" ht="17" thickBot="1">
      <c r="A7" t="s">
        <v>329</v>
      </c>
      <c r="B7" s="43" t="s">
        <v>27</v>
      </c>
      <c r="C7" s="32" t="s">
        <v>57</v>
      </c>
      <c r="D7" s="40" t="str">
        <f>IF(TestCaseConfig!$B$2="Yes","Yes","No")</f>
        <v>Yes</v>
      </c>
      <c r="E7" s="31" t="str" cm="1">
        <f t="array" ref="E7">_xlfn.XLOOKUP($A7,DataColumnRange,_xlfn.XLOOKUP(E$1,dataRowRange,ActualDataRange))</f>
        <v>FRESH</v>
      </c>
      <c r="F7" s="31" t="str" cm="1">
        <f t="array" ref="F7">_xlfn.XLOOKUP($A7,DataColumnRange,_xlfn.XLOOKUP(F$1,dataRowRange,ActualDataRange))</f>
        <v>sumit.choudhary@delta.com</v>
      </c>
      <c r="G7" s="31" t="str" cm="1">
        <f t="array" ref="G7">_xlfn.XLOOKUP($A7,DataColumnRange,_xlfn.XLOOKUP(G$1,dataRowRange,ActualDataRange))</f>
        <v>Delta2</v>
      </c>
      <c r="H7" s="31" t="b" cm="1">
        <f t="array" ref="H7">_xlfn.XLOOKUP($A7,DataColumnRange,_xlfn.XLOOKUP(H$1,dataRowRange,ActualDataRange))</f>
        <v>1</v>
      </c>
      <c r="I7" s="31" t="str" cm="1">
        <f t="array" ref="I7">_xlfn.XLOOKUP($A7,DataColumnRange,_xlfn.XLOOKUP(I$1,dataRowRange,ActualDataRange))</f>
        <v>NA</v>
      </c>
      <c r="J7" s="31" t="str" cm="1">
        <f t="array" ref="J7">_xlfn.XLOOKUP($A7,DataColumnRange,_xlfn.XLOOKUP(J$1,dataRowRange,ActualDataRange))</f>
        <v>ATL</v>
      </c>
      <c r="K7" s="31" t="str" cm="1">
        <f t="array" ref="K7">_xlfn.XLOOKUP($A7,DataColumnRange,_xlfn.XLOOKUP(K$1,dataRowRange,ActualDataRange))</f>
        <v>CDG</v>
      </c>
      <c r="L7" s="31" t="str" cm="1">
        <f t="array" ref="L7">_xlfn.XLOOKUP($A7,DataColumnRange,_xlfn.XLOOKUP(L$1,dataRowRange,ActualDataRange))</f>
        <v>Fresh 1 - Active container</v>
      </c>
      <c r="M7" s="31" t="str" cm="1">
        <f t="array" ref="M7">_xlfn.XLOOKUP($A7,DataColumnRange,_xlfn.XLOOKUP(M$1,dataRowRange,ActualDataRange))</f>
        <v>Test Perishables</v>
      </c>
      <c r="N7" s="31" cm="1">
        <f t="array" ref="N7">_xlfn.XLOOKUP($A7,DataColumnRange,_xlfn.XLOOKUP(N$1,dataRowRange,ActualDataRange))</f>
        <v>10</v>
      </c>
      <c r="O7" s="31" t="str" cm="1">
        <f t="array" ref="O7">_xlfn.XLOOKUP($A7,DataColumnRange,_xlfn.XLOOKUP(O$1,dataRowRange,ActualDataRange))</f>
        <v>LB</v>
      </c>
      <c r="P7" s="31" cm="1">
        <f t="array" ref="P7">_xlfn.XLOOKUP($A7,DataColumnRange,_xlfn.XLOOKUP(P$1,dataRowRange,ActualDataRange))</f>
        <v>1</v>
      </c>
      <c r="Q7" s="31" cm="1">
        <f t="array" ref="Q7">_xlfn.XLOOKUP($A7,DataColumnRange,_xlfn.XLOOKUP(Q$1,dataRowRange,ActualDataRange))</f>
        <v>10</v>
      </c>
      <c r="R7" s="31" cm="1">
        <f t="array" ref="R7">_xlfn.XLOOKUP($A7,DataColumnRange,_xlfn.XLOOKUP(R$1,dataRowRange,ActualDataRange))</f>
        <v>10</v>
      </c>
      <c r="S7" s="31" cm="1">
        <f t="array" ref="S7">_xlfn.XLOOKUP($A7,DataColumnRange,_xlfn.XLOOKUP(S$1,dataRowRange,ActualDataRange))</f>
        <v>10</v>
      </c>
      <c r="T7" s="31" t="str" cm="1">
        <f t="array" ref="T7">_xlfn.XLOOKUP($A7,DataColumnRange,_xlfn.XLOOKUP(T$1,dataRowRange,ActualDataRange))</f>
        <v>IN</v>
      </c>
      <c r="U7" s="31" t="str" cm="1">
        <f t="array" ref="U7">_xlfn.XLOOKUP($A7,DataColumnRange,_xlfn.XLOOKUP(U$1,dataRowRange,ActualDataRange))</f>
        <v>NA</v>
      </c>
      <c r="V7" s="31" t="str" cm="1">
        <f t="array" ref="V7">_xlfn.XLOOKUP($A7,DataColumnRange,_xlfn.XLOOKUP(V$1,dataRowRange,ActualDataRange))</f>
        <v>No</v>
      </c>
      <c r="W7" s="31" t="str" cm="1">
        <f t="array" ref="W7">_xlfn.XLOOKUP($A7,DataColumnRange,_xlfn.XLOOKUP(W$1,dataRowRange,ActualDataRange))</f>
        <v>No</v>
      </c>
      <c r="X7" s="31" t="str" cm="1">
        <f t="array" ref="X7">_xlfn.XLOOKUP($A7,DataColumnRange,_xlfn.XLOOKUP(X$1,dataRowRange,ActualDataRange))</f>
        <v>No</v>
      </c>
      <c r="Y7" s="31" cm="1">
        <f t="array" ref="Y7">_xlfn.XLOOKUP($A7,DataColumnRange,_xlfn.XLOOKUP(Y$1,dataRowRange,ActualDataRange))</f>
        <v>2</v>
      </c>
      <c r="Z7" s="31" t="str" cm="1">
        <f t="array" ref="Z7">_xlfn.XLOOKUP($A7,DataColumnRange,_xlfn.XLOOKUP(Z$1,dataRowRange,ActualDataRange))</f>
        <v>No</v>
      </c>
      <c r="AA7" s="31" t="str" cm="1">
        <f t="array" ref="AA7">_xlfn.XLOOKUP($A7,DataColumnRange,_xlfn.XLOOKUP(AA$1,dataRowRange,ActualDataRange))</f>
        <v>Chocolate</v>
      </c>
      <c r="AB7" s="31" t="str" cm="1">
        <f t="array" ref="AB7">_xlfn.XLOOKUP($A7,DataColumnRange,_xlfn.XLOOKUP(AB$1,dataRowRange,ActualDataRange))</f>
        <v>000260018</v>
      </c>
      <c r="AC7" s="31" t="str" cm="1">
        <f t="array" ref="AC7">_xlfn.XLOOKUP($A7,DataColumnRange,_xlfn.XLOOKUP(AC$1,dataRowRange,ActualDataRange))</f>
        <v>GeneralCargoTemplate</v>
      </c>
      <c r="AD7" s="31" t="str" cm="1">
        <f t="array" ref="AD7">_xlfn.XLOOKUP($A7,DataColumnRange,_xlfn.XLOOKUP(AD$1,dataRowRange,ActualDataRange))</f>
        <v>CreditCard</v>
      </c>
      <c r="AE7" s="31" t="str" cm="1">
        <f t="array" ref="AE7">_xlfn.XLOOKUP($A7,DataColumnRange,_xlfn.XLOOKUP(AE$1,dataRowRange,ActualDataRange))</f>
        <v>NA</v>
      </c>
      <c r="AF7" s="31" t="str" cm="1">
        <f t="array" ref="AF7">_xlfn.XLOOKUP($A7,DataColumnRange,_xlfn.XLOOKUP(AF$1,dataRowRange,ActualDataRange))</f>
        <v>Test1</v>
      </c>
      <c r="AG7" s="31" t="str" cm="1">
        <f t="array" ref="AG7">_xlfn.XLOOKUP($A7,DataColumnRange,_xlfn.XLOOKUP(AG$1,dataRowRange,ActualDataRange))</f>
        <v>Test2</v>
      </c>
      <c r="AH7" s="31" t="str" cm="1">
        <f t="array" ref="AH7">_xlfn.XLOOKUP($A7,DataColumnRange,_xlfn.XLOOKUP(AH$1,dataRowRange,ActualDataRange))</f>
        <v>Atlanta</v>
      </c>
      <c r="AI7" s="31" t="str" cm="1">
        <f t="array" ref="AI7">_xlfn.XLOOKUP($A7,DataColumnRange,_xlfn.XLOOKUP(AI$1,dataRowRange,ActualDataRange))</f>
        <v>Georgia</v>
      </c>
      <c r="AJ7" s="31" cm="1">
        <f t="array" ref="AJ7">_xlfn.XLOOKUP($A7,DataColumnRange,_xlfn.XLOOKUP(AJ$1,dataRowRange,ActualDataRange))</f>
        <v>55055</v>
      </c>
      <c r="AK7" s="31" t="str" cm="1">
        <f t="array" ref="AK7">_xlfn.XLOOKUP($A7,DataColumnRange,_xlfn.XLOOKUP(AK$1,dataRowRange,ActualDataRange))</f>
        <v>171276181</v>
      </c>
      <c r="AL7" s="31" t="str" cm="1">
        <f t="array" ref="AL7">_xlfn.XLOOKUP($A7,DataColumnRange,_xlfn.XLOOKUP(AL$1,dataRowRange,ActualDataRange))</f>
        <v>International</v>
      </c>
      <c r="AM7" s="31" cm="1">
        <f t="array" ref="AM7">_xlfn.XLOOKUP($A7,DataColumnRange,_xlfn.XLOOKUP(AM$1,dataRowRange,ActualDataRange))</f>
        <v>0</v>
      </c>
    </row>
    <row r="8" spans="1:39" ht="17" thickBot="1">
      <c r="A8" t="s">
        <v>330</v>
      </c>
      <c r="B8" s="43" t="s">
        <v>27</v>
      </c>
      <c r="C8" s="32" t="s">
        <v>115</v>
      </c>
      <c r="D8" s="40" t="str">
        <f>IF(TestCaseConfig!$B$2="Yes","Yes","No")</f>
        <v>Yes</v>
      </c>
      <c r="E8" s="31" t="str" cm="1">
        <f t="array" ref="E8">_xlfn.XLOOKUP($A8,DataColumnRange,_xlfn.XLOOKUP(E$1,dataRowRange,ActualDataRange))</f>
        <v>FRESH</v>
      </c>
      <c r="F8" s="31" t="str" cm="1">
        <f t="array" ref="F8">_xlfn.XLOOKUP($A8,DataColumnRange,_xlfn.XLOOKUP(F$1,dataRowRange,ActualDataRange))</f>
        <v>sumit.choudhary@delta.com</v>
      </c>
      <c r="G8" s="31" t="str" cm="1">
        <f t="array" ref="G8">_xlfn.XLOOKUP($A8,DataColumnRange,_xlfn.XLOOKUP(G$1,dataRowRange,ActualDataRange))</f>
        <v>Delta2</v>
      </c>
      <c r="H8" s="31" t="b" cm="1">
        <f t="array" ref="H8">_xlfn.XLOOKUP($A8,DataColumnRange,_xlfn.XLOOKUP(H$1,dataRowRange,ActualDataRange))</f>
        <v>1</v>
      </c>
      <c r="I8" s="31" t="str" cm="1">
        <f t="array" ref="I8">_xlfn.XLOOKUP($A8,DataColumnRange,_xlfn.XLOOKUP(I$1,dataRowRange,ActualDataRange))</f>
        <v>NA</v>
      </c>
      <c r="J8" s="31" t="str" cm="1">
        <f t="array" ref="J8">_xlfn.XLOOKUP($A8,DataColumnRange,_xlfn.XLOOKUP(J$1,dataRowRange,ActualDataRange))</f>
        <v>ATL</v>
      </c>
      <c r="K8" s="31" t="str" cm="1">
        <f t="array" ref="K8">_xlfn.XLOOKUP($A8,DataColumnRange,_xlfn.XLOOKUP(K$1,dataRowRange,ActualDataRange))</f>
        <v>CDG</v>
      </c>
      <c r="L8" s="31" t="str" cm="1">
        <f t="array" ref="L8">_xlfn.XLOOKUP($A8,DataColumnRange,_xlfn.XLOOKUP(L$1,dataRowRange,ActualDataRange))</f>
        <v>Fresh 2 - Temperature controlled between +2°C to 8°C</v>
      </c>
      <c r="M8" s="31" t="str" cm="1">
        <f t="array" ref="M8">_xlfn.XLOOKUP($A8,DataColumnRange,_xlfn.XLOOKUP(M$1,dataRowRange,ActualDataRange))</f>
        <v>Test Perishables</v>
      </c>
      <c r="N8" s="31" cm="1">
        <f t="array" ref="N8">_xlfn.XLOOKUP($A8,DataColumnRange,_xlfn.XLOOKUP(N$1,dataRowRange,ActualDataRange))</f>
        <v>11</v>
      </c>
      <c r="O8" s="31" t="str" cm="1">
        <f t="array" ref="O8">_xlfn.XLOOKUP($A8,DataColumnRange,_xlfn.XLOOKUP(O$1,dataRowRange,ActualDataRange))</f>
        <v>KG</v>
      </c>
      <c r="P8" s="31" cm="1">
        <f t="array" ref="P8">_xlfn.XLOOKUP($A8,DataColumnRange,_xlfn.XLOOKUP(P$1,dataRowRange,ActualDataRange))</f>
        <v>1</v>
      </c>
      <c r="Q8" s="31" cm="1">
        <f t="array" ref="Q8">_xlfn.XLOOKUP($A8,DataColumnRange,_xlfn.XLOOKUP(Q$1,dataRowRange,ActualDataRange))</f>
        <v>10</v>
      </c>
      <c r="R8" s="31" cm="1">
        <f t="array" ref="R8">_xlfn.XLOOKUP($A8,DataColumnRange,_xlfn.XLOOKUP(R$1,dataRowRange,ActualDataRange))</f>
        <v>10</v>
      </c>
      <c r="S8" s="31" cm="1">
        <f t="array" ref="S8">_xlfn.XLOOKUP($A8,DataColumnRange,_xlfn.XLOOKUP(S$1,dataRowRange,ActualDataRange))</f>
        <v>10</v>
      </c>
      <c r="T8" s="31" t="str" cm="1">
        <f t="array" ref="T8">_xlfn.XLOOKUP($A8,DataColumnRange,_xlfn.XLOOKUP(T$1,dataRowRange,ActualDataRange))</f>
        <v>CM</v>
      </c>
      <c r="U8" s="31" t="str" cm="1">
        <f t="array" ref="U8">_xlfn.XLOOKUP($A8,DataColumnRange,_xlfn.XLOOKUP(U$1,dataRowRange,ActualDataRange))</f>
        <v>Cubic Feet</v>
      </c>
      <c r="V8" s="31" t="str" cm="1">
        <f t="array" ref="V8">_xlfn.XLOOKUP($A8,DataColumnRange,_xlfn.XLOOKUP(V$1,dataRowRange,ActualDataRange))</f>
        <v>No</v>
      </c>
      <c r="W8" s="31" t="str" cm="1">
        <f t="array" ref="W8">_xlfn.XLOOKUP($A8,DataColumnRange,_xlfn.XLOOKUP(W$1,dataRowRange,ActualDataRange))</f>
        <v>No</v>
      </c>
      <c r="X8" s="31" t="str" cm="1">
        <f t="array" ref="X8">_xlfn.XLOOKUP($A8,DataColumnRange,_xlfn.XLOOKUP(X$1,dataRowRange,ActualDataRange))</f>
        <v>No</v>
      </c>
      <c r="Y8" s="31" cm="1">
        <f t="array" ref="Y8">_xlfn.XLOOKUP($A8,DataColumnRange,_xlfn.XLOOKUP(Y$1,dataRowRange,ActualDataRange))</f>
        <v>3</v>
      </c>
      <c r="Z8" s="31" t="str" cm="1">
        <f t="array" ref="Z8">_xlfn.XLOOKUP($A8,DataColumnRange,_xlfn.XLOOKUP(Z$1,dataRowRange,ActualDataRange))</f>
        <v>No</v>
      </c>
      <c r="AA8" s="31" t="str" cm="1">
        <f t="array" ref="AA8">_xlfn.XLOOKUP($A8,DataColumnRange,_xlfn.XLOOKUP(AA$1,dataRowRange,ActualDataRange))</f>
        <v>NA</v>
      </c>
      <c r="AB8" s="31" t="str" cm="1">
        <f t="array" ref="AB8">_xlfn.XLOOKUP($A8,DataColumnRange,_xlfn.XLOOKUP(AB$1,dataRowRange,ActualDataRange))</f>
        <v>000260018</v>
      </c>
      <c r="AC8" s="31" t="str" cm="1">
        <f t="array" ref="AC8">_xlfn.XLOOKUP($A8,DataColumnRange,_xlfn.XLOOKUP(AC$1,dataRowRange,ActualDataRange))</f>
        <v>GeneralCargoTemplate</v>
      </c>
      <c r="AD8" s="31" t="str" cm="1">
        <f t="array" ref="AD8">_xlfn.XLOOKUP($A8,DataColumnRange,_xlfn.XLOOKUP(AD$1,dataRowRange,ActualDataRange))</f>
        <v>CreditCard</v>
      </c>
      <c r="AE8" s="31" t="str" cm="1">
        <f t="array" ref="AE8">_xlfn.XLOOKUP($A8,DataColumnRange,_xlfn.XLOOKUP(AE$1,dataRowRange,ActualDataRange))</f>
        <v>NA</v>
      </c>
      <c r="AF8" s="31" t="str" cm="1">
        <f t="array" ref="AF8">_xlfn.XLOOKUP($A8,DataColumnRange,_xlfn.XLOOKUP(AF$1,dataRowRange,ActualDataRange))</f>
        <v>Test1</v>
      </c>
      <c r="AG8" s="31" t="str" cm="1">
        <f t="array" ref="AG8">_xlfn.XLOOKUP($A8,DataColumnRange,_xlfn.XLOOKUP(AG$1,dataRowRange,ActualDataRange))</f>
        <v>Test2</v>
      </c>
      <c r="AH8" s="31" t="str" cm="1">
        <f t="array" ref="AH8">_xlfn.XLOOKUP($A8,DataColumnRange,_xlfn.XLOOKUP(AH$1,dataRowRange,ActualDataRange))</f>
        <v>Atlanta</v>
      </c>
      <c r="AI8" s="31" t="str" cm="1">
        <f t="array" ref="AI8">_xlfn.XLOOKUP($A8,DataColumnRange,_xlfn.XLOOKUP(AI$1,dataRowRange,ActualDataRange))</f>
        <v>Georgia</v>
      </c>
      <c r="AJ8" s="31" cm="1">
        <f t="array" ref="AJ8">_xlfn.XLOOKUP($A8,DataColumnRange,_xlfn.XLOOKUP(AJ$1,dataRowRange,ActualDataRange))</f>
        <v>55055</v>
      </c>
      <c r="AK8" s="31" t="str" cm="1">
        <f t="array" ref="AK8">_xlfn.XLOOKUP($A8,DataColumnRange,_xlfn.XLOOKUP(AK$1,dataRowRange,ActualDataRange))</f>
        <v>171276181</v>
      </c>
      <c r="AL8" s="31" t="str" cm="1">
        <f t="array" ref="AL8">_xlfn.XLOOKUP($A8,DataColumnRange,_xlfn.XLOOKUP(AL$1,dataRowRange,ActualDataRange))</f>
        <v>International</v>
      </c>
      <c r="AM8" s="31" cm="1">
        <f t="array" ref="AM8">_xlfn.XLOOKUP($A8,DataColumnRange,_xlfn.XLOOKUP(AM$1,dataRowRange,ActualDataRange))</f>
        <v>0</v>
      </c>
    </row>
    <row r="9" spans="1:39" ht="17" thickBot="1">
      <c r="A9" t="s">
        <v>331</v>
      </c>
      <c r="B9" s="43" t="s">
        <v>27</v>
      </c>
      <c r="C9" s="32" t="s">
        <v>116</v>
      </c>
      <c r="D9" s="40" t="str">
        <f>IF(TestCaseConfig!$B$2="Yes","Yes","No")</f>
        <v>Yes</v>
      </c>
      <c r="E9" s="31" t="str" cm="1">
        <f t="array" ref="E9">_xlfn.XLOOKUP($A9,DataColumnRange,_xlfn.XLOOKUP(E$1,dataRowRange,ActualDataRange))</f>
        <v>EXPRESS</v>
      </c>
      <c r="F9" s="31" t="str" cm="1">
        <f t="array" ref="F9">_xlfn.XLOOKUP($A9,DataColumnRange,_xlfn.XLOOKUP(F$1,dataRowRange,ActualDataRange))</f>
        <v>sumit.choudhary@delta.com</v>
      </c>
      <c r="G9" s="31" t="str" cm="1">
        <f t="array" ref="G9">_xlfn.XLOOKUP($A9,DataColumnRange,_xlfn.XLOOKUP(G$1,dataRowRange,ActualDataRange))</f>
        <v>Delta2</v>
      </c>
      <c r="H9" s="31" t="b" cm="1">
        <f t="array" ref="H9">_xlfn.XLOOKUP($A9,DataColumnRange,_xlfn.XLOOKUP(H$1,dataRowRange,ActualDataRange))</f>
        <v>1</v>
      </c>
      <c r="I9" s="31" t="str" cm="1">
        <f t="array" ref="I9">_xlfn.XLOOKUP($A9,DataColumnRange,_xlfn.XLOOKUP(I$1,dataRowRange,ActualDataRange))</f>
        <v>NA</v>
      </c>
      <c r="J9" s="31" t="str" cm="1">
        <f t="array" ref="J9">_xlfn.XLOOKUP($A9,DataColumnRange,_xlfn.XLOOKUP(J$1,dataRowRange,ActualDataRange))</f>
        <v>ATL</v>
      </c>
      <c r="K9" s="31" t="str" cm="1">
        <f t="array" ref="K9">_xlfn.XLOOKUP($A9,DataColumnRange,_xlfn.XLOOKUP(K$1,dataRowRange,ActualDataRange))</f>
        <v>CDG</v>
      </c>
      <c r="L9" s="31" t="str" cm="1">
        <f t="array" ref="L9">_xlfn.XLOOKUP($A9,DataColumnRange,_xlfn.XLOOKUP(L$1,dataRowRange,ActualDataRange))</f>
        <v>Fresh 3 - Flowers between +2°C to 25°C</v>
      </c>
      <c r="M9" s="31" t="str" cm="1">
        <f t="array" ref="M9">_xlfn.XLOOKUP($A9,DataColumnRange,_xlfn.XLOOKUP(M$1,dataRowRange,ActualDataRange))</f>
        <v>Test Perishables</v>
      </c>
      <c r="N9" s="31" cm="1">
        <f t="array" ref="N9">_xlfn.XLOOKUP($A9,DataColumnRange,_xlfn.XLOOKUP(N$1,dataRowRange,ActualDataRange))</f>
        <v>12</v>
      </c>
      <c r="O9" s="31" t="str" cm="1">
        <f t="array" ref="O9">_xlfn.XLOOKUP($A9,DataColumnRange,_xlfn.XLOOKUP(O$1,dataRowRange,ActualDataRange))</f>
        <v>LB</v>
      </c>
      <c r="P9" s="31" cm="1">
        <f t="array" ref="P9">_xlfn.XLOOKUP($A9,DataColumnRange,_xlfn.XLOOKUP(P$1,dataRowRange,ActualDataRange))</f>
        <v>1</v>
      </c>
      <c r="Q9" s="31" cm="1">
        <f t="array" ref="Q9">_xlfn.XLOOKUP($A9,DataColumnRange,_xlfn.XLOOKUP(Q$1,dataRowRange,ActualDataRange))</f>
        <v>10</v>
      </c>
      <c r="R9" s="31" cm="1">
        <f t="array" ref="R9">_xlfn.XLOOKUP($A9,DataColumnRange,_xlfn.XLOOKUP(R$1,dataRowRange,ActualDataRange))</f>
        <v>10</v>
      </c>
      <c r="S9" s="31" cm="1">
        <f t="array" ref="S9">_xlfn.XLOOKUP($A9,DataColumnRange,_xlfn.XLOOKUP(S$1,dataRowRange,ActualDataRange))</f>
        <v>10</v>
      </c>
      <c r="T9" s="31" t="str" cm="1">
        <f t="array" ref="T9">_xlfn.XLOOKUP($A9,DataColumnRange,_xlfn.XLOOKUP(T$1,dataRowRange,ActualDataRange))</f>
        <v>IN</v>
      </c>
      <c r="U9" s="31" t="str" cm="1">
        <f t="array" ref="U9">_xlfn.XLOOKUP($A9,DataColumnRange,_xlfn.XLOOKUP(U$1,dataRowRange,ActualDataRange))</f>
        <v>Cubic Feet</v>
      </c>
      <c r="V9" s="31" t="str" cm="1">
        <f t="array" ref="V9">_xlfn.XLOOKUP($A9,DataColumnRange,_xlfn.XLOOKUP(V$1,dataRowRange,ActualDataRange))</f>
        <v>No</v>
      </c>
      <c r="W9" s="31" t="str" cm="1">
        <f t="array" ref="W9">_xlfn.XLOOKUP($A9,DataColumnRange,_xlfn.XLOOKUP(W$1,dataRowRange,ActualDataRange))</f>
        <v>No</v>
      </c>
      <c r="X9" s="31" t="str" cm="1">
        <f t="array" ref="X9">_xlfn.XLOOKUP($A9,DataColumnRange,_xlfn.XLOOKUP(X$1,dataRowRange,ActualDataRange))</f>
        <v>No</v>
      </c>
      <c r="Y9" s="31" cm="1">
        <f t="array" ref="Y9">_xlfn.XLOOKUP($A9,DataColumnRange,_xlfn.XLOOKUP(Y$1,dataRowRange,ActualDataRange))</f>
        <v>4</v>
      </c>
      <c r="Z9" s="31" t="str" cm="1">
        <f t="array" ref="Z9">_xlfn.XLOOKUP($A9,DataColumnRange,_xlfn.XLOOKUP(Z$1,dataRowRange,ActualDataRange))</f>
        <v>No</v>
      </c>
      <c r="AA9" s="31" t="str" cm="1">
        <f t="array" ref="AA9">_xlfn.XLOOKUP($A9,DataColumnRange,_xlfn.XLOOKUP(AA$1,dataRowRange,ActualDataRange))</f>
        <v>NA</v>
      </c>
      <c r="AB9" s="31" t="str" cm="1">
        <f t="array" ref="AB9">_xlfn.XLOOKUP($A9,DataColumnRange,_xlfn.XLOOKUP(AB$1,dataRowRange,ActualDataRange))</f>
        <v>000260018</v>
      </c>
      <c r="AC9" s="31" t="str" cm="1">
        <f t="array" ref="AC9">_xlfn.XLOOKUP($A9,DataColumnRange,_xlfn.XLOOKUP(AC$1,dataRowRange,ActualDataRange))</f>
        <v>GeneralCargoTemplate</v>
      </c>
      <c r="AD9" s="31" t="str" cm="1">
        <f t="array" ref="AD9">_xlfn.XLOOKUP($A9,DataColumnRange,_xlfn.XLOOKUP(AD$1,dataRowRange,ActualDataRange))</f>
        <v>CreditCard</v>
      </c>
      <c r="AE9" s="31" t="str" cm="1">
        <f t="array" ref="AE9">_xlfn.XLOOKUP($A9,DataColumnRange,_xlfn.XLOOKUP(AE$1,dataRowRange,ActualDataRange))</f>
        <v>NA</v>
      </c>
      <c r="AF9" s="31" t="str" cm="1">
        <f t="array" ref="AF9">_xlfn.XLOOKUP($A9,DataColumnRange,_xlfn.XLOOKUP(AF$1,dataRowRange,ActualDataRange))</f>
        <v>Test1</v>
      </c>
      <c r="AG9" s="31" t="str" cm="1">
        <f t="array" ref="AG9">_xlfn.XLOOKUP($A9,DataColumnRange,_xlfn.XLOOKUP(AG$1,dataRowRange,ActualDataRange))</f>
        <v>Test2</v>
      </c>
      <c r="AH9" s="31" t="str" cm="1">
        <f t="array" ref="AH9">_xlfn.XLOOKUP($A9,DataColumnRange,_xlfn.XLOOKUP(AH$1,dataRowRange,ActualDataRange))</f>
        <v>Atlanta</v>
      </c>
      <c r="AI9" s="31" t="str" cm="1">
        <f t="array" ref="AI9">_xlfn.XLOOKUP($A9,DataColumnRange,_xlfn.XLOOKUP(AI$1,dataRowRange,ActualDataRange))</f>
        <v>Georgia</v>
      </c>
      <c r="AJ9" s="31" cm="1">
        <f t="array" ref="AJ9">_xlfn.XLOOKUP($A9,DataColumnRange,_xlfn.XLOOKUP(AJ$1,dataRowRange,ActualDataRange))</f>
        <v>55055</v>
      </c>
      <c r="AK9" s="31" t="str" cm="1">
        <f t="array" ref="AK9">_xlfn.XLOOKUP($A9,DataColumnRange,_xlfn.XLOOKUP(AK$1,dataRowRange,ActualDataRange))</f>
        <v>171276181</v>
      </c>
      <c r="AL9" s="31" t="str" cm="1">
        <f t="array" ref="AL9">_xlfn.XLOOKUP($A9,DataColumnRange,_xlfn.XLOOKUP(AL$1,dataRowRange,ActualDataRange))</f>
        <v>International</v>
      </c>
      <c r="AM9" s="31" cm="1">
        <f t="array" ref="AM9">_xlfn.XLOOKUP($A9,DataColumnRange,_xlfn.XLOOKUP(AM$1,dataRowRange,ActualDataRange))</f>
        <v>0</v>
      </c>
    </row>
    <row r="10" spans="1:39" ht="17" thickBot="1">
      <c r="A10" t="s">
        <v>332</v>
      </c>
      <c r="B10" s="43" t="s">
        <v>27</v>
      </c>
      <c r="C10" s="32" t="s">
        <v>69</v>
      </c>
      <c r="D10" s="40" t="str">
        <f>IF(TestCaseConfig!$B$2="Yes","Yes","No")</f>
        <v>Yes</v>
      </c>
      <c r="E10" s="31" t="str" cm="1">
        <f t="array" ref="E10">_xlfn.XLOOKUP($A10,DataColumnRange,_xlfn.XLOOKUP(E$1,dataRowRange,ActualDataRange))</f>
        <v>EXPRESS HEAVY</v>
      </c>
      <c r="F10" s="31" t="str" cm="1">
        <f t="array" ref="F10">_xlfn.XLOOKUP($A10,DataColumnRange,_xlfn.XLOOKUP(F$1,dataRowRange,ActualDataRange))</f>
        <v>sumit.choudhary@delta.com</v>
      </c>
      <c r="G10" s="31" t="str" cm="1">
        <f t="array" ref="G10">_xlfn.XLOOKUP($A10,DataColumnRange,_xlfn.XLOOKUP(G$1,dataRowRange,ActualDataRange))</f>
        <v>Delta2</v>
      </c>
      <c r="H10" s="31" t="b" cm="1">
        <f t="array" ref="H10">_xlfn.XLOOKUP($A10,DataColumnRange,_xlfn.XLOOKUP(H$1,dataRowRange,ActualDataRange))</f>
        <v>1</v>
      </c>
      <c r="I10" s="31" t="str" cm="1">
        <f t="array" ref="I10">_xlfn.XLOOKUP($A10,DataColumnRange,_xlfn.XLOOKUP(I$1,dataRowRange,ActualDataRange))</f>
        <v>NA</v>
      </c>
      <c r="J10" s="31" t="str" cm="1">
        <f t="array" ref="J10">_xlfn.XLOOKUP($A10,DataColumnRange,_xlfn.XLOOKUP(J$1,dataRowRange,ActualDataRange))</f>
        <v>ATL</v>
      </c>
      <c r="K10" s="31" t="str" cm="1">
        <f t="array" ref="K10">_xlfn.XLOOKUP($A10,DataColumnRange,_xlfn.XLOOKUP(K$1,dataRowRange,ActualDataRange))</f>
        <v>CDG</v>
      </c>
      <c r="L10" s="31" t="str" cm="1">
        <f t="array" ref="L10">_xlfn.XLOOKUP($A10,DataColumnRange,_xlfn.XLOOKUP(L$1,dataRowRange,ActualDataRange))</f>
        <v>Fresh 3 - Foodstuffs between +2°C to 25°C</v>
      </c>
      <c r="M10" s="31" t="str" cm="1">
        <f t="array" ref="M10">_xlfn.XLOOKUP($A10,DataColumnRange,_xlfn.XLOOKUP(M$1,dataRowRange,ActualDataRange))</f>
        <v>Test Perishables</v>
      </c>
      <c r="N10" s="31" cm="1">
        <f t="array" ref="N10">_xlfn.XLOOKUP($A10,DataColumnRange,_xlfn.XLOOKUP(N$1,dataRowRange,ActualDataRange))</f>
        <v>130</v>
      </c>
      <c r="O10" s="31" t="str" cm="1">
        <f t="array" ref="O10">_xlfn.XLOOKUP($A10,DataColumnRange,_xlfn.XLOOKUP(O$1,dataRowRange,ActualDataRange))</f>
        <v>KG</v>
      </c>
      <c r="P10" s="31" cm="1">
        <f t="array" ref="P10">_xlfn.XLOOKUP($A10,DataColumnRange,_xlfn.XLOOKUP(P$1,dataRowRange,ActualDataRange))</f>
        <v>1</v>
      </c>
      <c r="Q10" s="31" cm="1">
        <f t="array" ref="Q10">_xlfn.XLOOKUP($A10,DataColumnRange,_xlfn.XLOOKUP(Q$1,dataRowRange,ActualDataRange))</f>
        <v>10</v>
      </c>
      <c r="R10" s="31" cm="1">
        <f t="array" ref="R10">_xlfn.XLOOKUP($A10,DataColumnRange,_xlfn.XLOOKUP(R$1,dataRowRange,ActualDataRange))</f>
        <v>10</v>
      </c>
      <c r="S10" s="31" cm="1">
        <f t="array" ref="S10">_xlfn.XLOOKUP($A10,DataColumnRange,_xlfn.XLOOKUP(S$1,dataRowRange,ActualDataRange))</f>
        <v>10</v>
      </c>
      <c r="T10" s="31" t="str" cm="1">
        <f t="array" ref="T10">_xlfn.XLOOKUP($A10,DataColumnRange,_xlfn.XLOOKUP(T$1,dataRowRange,ActualDataRange))</f>
        <v>CM</v>
      </c>
      <c r="U10" s="31" t="str" cm="1">
        <f t="array" ref="U10">_xlfn.XLOOKUP($A10,DataColumnRange,_xlfn.XLOOKUP(U$1,dataRowRange,ActualDataRange))</f>
        <v>Cubic Feet</v>
      </c>
      <c r="V10" s="31" t="str" cm="1">
        <f t="array" ref="V10">_xlfn.XLOOKUP($A10,DataColumnRange,_xlfn.XLOOKUP(V$1,dataRowRange,ActualDataRange))</f>
        <v>No</v>
      </c>
      <c r="W10" s="31" t="str" cm="1">
        <f t="array" ref="W10">_xlfn.XLOOKUP($A10,DataColumnRange,_xlfn.XLOOKUP(W$1,dataRowRange,ActualDataRange))</f>
        <v>No</v>
      </c>
      <c r="X10" s="31" t="str" cm="1">
        <f t="array" ref="X10">_xlfn.XLOOKUP($A10,DataColumnRange,_xlfn.XLOOKUP(X$1,dataRowRange,ActualDataRange))</f>
        <v>No</v>
      </c>
      <c r="Y10" s="31" cm="1">
        <f t="array" ref="Y10">_xlfn.XLOOKUP($A10,DataColumnRange,_xlfn.XLOOKUP(Y$1,dataRowRange,ActualDataRange))</f>
        <v>5</v>
      </c>
      <c r="Z10" s="31" t="str" cm="1">
        <f t="array" ref="Z10">_xlfn.XLOOKUP($A10,DataColumnRange,_xlfn.XLOOKUP(Z$1,dataRowRange,ActualDataRange))</f>
        <v>No</v>
      </c>
      <c r="AA10" s="31" t="str" cm="1">
        <f t="array" ref="AA10">_xlfn.XLOOKUP($A10,DataColumnRange,_xlfn.XLOOKUP(AA$1,dataRowRange,ActualDataRange))</f>
        <v>NA</v>
      </c>
      <c r="AB10" s="31" t="str" cm="1">
        <f t="array" ref="AB10">_xlfn.XLOOKUP($A10,DataColumnRange,_xlfn.XLOOKUP(AB$1,dataRowRange,ActualDataRange))</f>
        <v>000260018</v>
      </c>
      <c r="AC10" s="31" t="str" cm="1">
        <f t="array" ref="AC10">_xlfn.XLOOKUP($A10,DataColumnRange,_xlfn.XLOOKUP(AC$1,dataRowRange,ActualDataRange))</f>
        <v>GeneralCargoTemplate</v>
      </c>
      <c r="AD10" s="31" t="str" cm="1">
        <f t="array" ref="AD10">_xlfn.XLOOKUP($A10,DataColumnRange,_xlfn.XLOOKUP(AD$1,dataRowRange,ActualDataRange))</f>
        <v>CreditCard</v>
      </c>
      <c r="AE10" s="31" t="str" cm="1">
        <f t="array" ref="AE10">_xlfn.XLOOKUP($A10,DataColumnRange,_xlfn.XLOOKUP(AE$1,dataRowRange,ActualDataRange))</f>
        <v>NA</v>
      </c>
      <c r="AF10" s="31" t="str" cm="1">
        <f t="array" ref="AF10">_xlfn.XLOOKUP($A10,DataColumnRange,_xlfn.XLOOKUP(AF$1,dataRowRange,ActualDataRange))</f>
        <v>Test1</v>
      </c>
      <c r="AG10" s="31" t="str" cm="1">
        <f t="array" ref="AG10">_xlfn.XLOOKUP($A10,DataColumnRange,_xlfn.XLOOKUP(AG$1,dataRowRange,ActualDataRange))</f>
        <v>Test2</v>
      </c>
      <c r="AH10" s="31" t="str" cm="1">
        <f t="array" ref="AH10">_xlfn.XLOOKUP($A10,DataColumnRange,_xlfn.XLOOKUP(AH$1,dataRowRange,ActualDataRange))</f>
        <v>Atlanta</v>
      </c>
      <c r="AI10" s="31" t="str" cm="1">
        <f t="array" ref="AI10">_xlfn.XLOOKUP($A10,DataColumnRange,_xlfn.XLOOKUP(AI$1,dataRowRange,ActualDataRange))</f>
        <v>Georgia</v>
      </c>
      <c r="AJ10" s="31" cm="1">
        <f t="array" ref="AJ10">_xlfn.XLOOKUP($A10,DataColumnRange,_xlfn.XLOOKUP(AJ$1,dataRowRange,ActualDataRange))</f>
        <v>55055</v>
      </c>
      <c r="AK10" s="31" t="str" cm="1">
        <f t="array" ref="AK10">_xlfn.XLOOKUP($A10,DataColumnRange,_xlfn.XLOOKUP(AK$1,dataRowRange,ActualDataRange))</f>
        <v>171276181</v>
      </c>
      <c r="AL10" s="31" t="str" cm="1">
        <f t="array" ref="AL10">_xlfn.XLOOKUP($A10,DataColumnRange,_xlfn.XLOOKUP(AL$1,dataRowRange,ActualDataRange))</f>
        <v>International</v>
      </c>
      <c r="AM10" s="31" cm="1">
        <f t="array" ref="AM10">_xlfn.XLOOKUP($A10,DataColumnRange,_xlfn.XLOOKUP(AM$1,dataRowRange,ActualDataRange))</f>
        <v>0</v>
      </c>
    </row>
    <row r="11" spans="1:39" ht="17" thickBot="1">
      <c r="A11" t="s">
        <v>333</v>
      </c>
      <c r="B11" s="43" t="s">
        <v>27</v>
      </c>
      <c r="C11" s="32" t="s">
        <v>117</v>
      </c>
      <c r="D11" s="40" t="str">
        <f>IF(TestCaseConfig!$B$2="Yes","Yes","No")</f>
        <v>Yes</v>
      </c>
      <c r="E11" s="31" t="str" cm="1">
        <f t="array" ref="E11">_xlfn.XLOOKUP($A11,DataColumnRange,_xlfn.XLOOKUP(E$1,dataRowRange,ActualDataRange))</f>
        <v>CRITICAL HEAVY</v>
      </c>
      <c r="F11" s="31" t="str" cm="1">
        <f t="array" ref="F11">_xlfn.XLOOKUP($A11,DataColumnRange,_xlfn.XLOOKUP(F$1,dataRowRange,ActualDataRange))</f>
        <v>sumit.choudhary@delta.com</v>
      </c>
      <c r="G11" s="31" t="str" cm="1">
        <f t="array" ref="G11">_xlfn.XLOOKUP($A11,DataColumnRange,_xlfn.XLOOKUP(G$1,dataRowRange,ActualDataRange))</f>
        <v>Delta2</v>
      </c>
      <c r="H11" s="31" t="b" cm="1">
        <f t="array" ref="H11">_xlfn.XLOOKUP($A11,DataColumnRange,_xlfn.XLOOKUP(H$1,dataRowRange,ActualDataRange))</f>
        <v>1</v>
      </c>
      <c r="I11" s="31" t="str" cm="1">
        <f t="array" ref="I11">_xlfn.XLOOKUP($A11,DataColumnRange,_xlfn.XLOOKUP(I$1,dataRowRange,ActualDataRange))</f>
        <v>NA</v>
      </c>
      <c r="J11" s="31" t="str" cm="1">
        <f t="array" ref="J11">_xlfn.XLOOKUP($A11,DataColumnRange,_xlfn.XLOOKUP(J$1,dataRowRange,ActualDataRange))</f>
        <v>ATL</v>
      </c>
      <c r="K11" s="31" t="str" cm="1">
        <f t="array" ref="K11">_xlfn.XLOOKUP($A11,DataColumnRange,_xlfn.XLOOKUP(K$1,dataRowRange,ActualDataRange))</f>
        <v>CDG</v>
      </c>
      <c r="L11" s="31" t="str" cm="1">
        <f t="array" ref="L11">_xlfn.XLOOKUP($A11,DataColumnRange,_xlfn.XLOOKUP(L$1,dataRowRange,ActualDataRange))</f>
        <v>Fresh 3 - Seafood between +2°C to 25°C</v>
      </c>
      <c r="M11" s="31" t="str" cm="1">
        <f t="array" ref="M11">_xlfn.XLOOKUP($A11,DataColumnRange,_xlfn.XLOOKUP(M$1,dataRowRange,ActualDataRange))</f>
        <v>Test Perishables</v>
      </c>
      <c r="N11" s="31" cm="1">
        <f t="array" ref="N11">_xlfn.XLOOKUP($A11,DataColumnRange,_xlfn.XLOOKUP(N$1,dataRowRange,ActualDataRange))</f>
        <v>130</v>
      </c>
      <c r="O11" s="31" t="str" cm="1">
        <f t="array" ref="O11">_xlfn.XLOOKUP($A11,DataColumnRange,_xlfn.XLOOKUP(O$1,dataRowRange,ActualDataRange))</f>
        <v>KG</v>
      </c>
      <c r="P11" s="31" cm="1">
        <f t="array" ref="P11">_xlfn.XLOOKUP($A11,DataColumnRange,_xlfn.XLOOKUP(P$1,dataRowRange,ActualDataRange))</f>
        <v>1</v>
      </c>
      <c r="Q11" s="31" cm="1">
        <f t="array" ref="Q11">_xlfn.XLOOKUP($A11,DataColumnRange,_xlfn.XLOOKUP(Q$1,dataRowRange,ActualDataRange))</f>
        <v>10</v>
      </c>
      <c r="R11" s="31" cm="1">
        <f t="array" ref="R11">_xlfn.XLOOKUP($A11,DataColumnRange,_xlfn.XLOOKUP(R$1,dataRowRange,ActualDataRange))</f>
        <v>10</v>
      </c>
      <c r="S11" s="31" cm="1">
        <f t="array" ref="S11">_xlfn.XLOOKUP($A11,DataColumnRange,_xlfn.XLOOKUP(S$1,dataRowRange,ActualDataRange))</f>
        <v>10</v>
      </c>
      <c r="T11" s="31" t="str" cm="1">
        <f t="array" ref="T11">_xlfn.XLOOKUP($A11,DataColumnRange,_xlfn.XLOOKUP(T$1,dataRowRange,ActualDataRange))</f>
        <v>IN</v>
      </c>
      <c r="U11" s="31" t="str" cm="1">
        <f t="array" ref="U11">_xlfn.XLOOKUP($A11,DataColumnRange,_xlfn.XLOOKUP(U$1,dataRowRange,ActualDataRange))</f>
        <v>Cubic Feet</v>
      </c>
      <c r="V11" s="31" t="str" cm="1">
        <f t="array" ref="V11">_xlfn.XLOOKUP($A11,DataColumnRange,_xlfn.XLOOKUP(V$1,dataRowRange,ActualDataRange))</f>
        <v>No</v>
      </c>
      <c r="W11" s="31" t="str" cm="1">
        <f t="array" ref="W11">_xlfn.XLOOKUP($A11,DataColumnRange,_xlfn.XLOOKUP(W$1,dataRowRange,ActualDataRange))</f>
        <v>No</v>
      </c>
      <c r="X11" s="31" t="str" cm="1">
        <f t="array" ref="X11">_xlfn.XLOOKUP($A11,DataColumnRange,_xlfn.XLOOKUP(X$1,dataRowRange,ActualDataRange))</f>
        <v>No</v>
      </c>
      <c r="Y11" s="31" cm="1">
        <f t="array" ref="Y11">_xlfn.XLOOKUP($A11,DataColumnRange,_xlfn.XLOOKUP(Y$1,dataRowRange,ActualDataRange))</f>
        <v>6</v>
      </c>
      <c r="Z11" s="31" t="str" cm="1">
        <f t="array" ref="Z11">_xlfn.XLOOKUP($A11,DataColumnRange,_xlfn.XLOOKUP(Z$1,dataRowRange,ActualDataRange))</f>
        <v>No</v>
      </c>
      <c r="AA11" s="31" t="str" cm="1">
        <f t="array" ref="AA11">_xlfn.XLOOKUP($A11,DataColumnRange,_xlfn.XLOOKUP(AA$1,dataRowRange,ActualDataRange))</f>
        <v>NA</v>
      </c>
      <c r="AB11" s="31" t="str" cm="1">
        <f t="array" ref="AB11">_xlfn.XLOOKUP($A11,DataColumnRange,_xlfn.XLOOKUP(AB$1,dataRowRange,ActualDataRange))</f>
        <v>000260018</v>
      </c>
      <c r="AC11" s="31" t="str" cm="1">
        <f t="array" ref="AC11">_xlfn.XLOOKUP($A11,DataColumnRange,_xlfn.XLOOKUP(AC$1,dataRowRange,ActualDataRange))</f>
        <v>GeneralCargoTemplate</v>
      </c>
      <c r="AD11" s="31" t="str" cm="1">
        <f t="array" ref="AD11">_xlfn.XLOOKUP($A11,DataColumnRange,_xlfn.XLOOKUP(AD$1,dataRowRange,ActualDataRange))</f>
        <v>CreditCard</v>
      </c>
      <c r="AE11" s="31" t="str" cm="1">
        <f t="array" ref="AE11">_xlfn.XLOOKUP($A11,DataColumnRange,_xlfn.XLOOKUP(AE$1,dataRowRange,ActualDataRange))</f>
        <v>NA</v>
      </c>
      <c r="AF11" s="31" t="str" cm="1">
        <f t="array" ref="AF11">_xlfn.XLOOKUP($A11,DataColumnRange,_xlfn.XLOOKUP(AF$1,dataRowRange,ActualDataRange))</f>
        <v>Test1</v>
      </c>
      <c r="AG11" s="31" t="str" cm="1">
        <f t="array" ref="AG11">_xlfn.XLOOKUP($A11,DataColumnRange,_xlfn.XLOOKUP(AG$1,dataRowRange,ActualDataRange))</f>
        <v>Test2</v>
      </c>
      <c r="AH11" s="31" t="str" cm="1">
        <f t="array" ref="AH11">_xlfn.XLOOKUP($A11,DataColumnRange,_xlfn.XLOOKUP(AH$1,dataRowRange,ActualDataRange))</f>
        <v>Atlanta</v>
      </c>
      <c r="AI11" s="31" t="str" cm="1">
        <f t="array" ref="AI11">_xlfn.XLOOKUP($A11,DataColumnRange,_xlfn.XLOOKUP(AI$1,dataRowRange,ActualDataRange))</f>
        <v>Georgia</v>
      </c>
      <c r="AJ11" s="31" cm="1">
        <f t="array" ref="AJ11">_xlfn.XLOOKUP($A11,DataColumnRange,_xlfn.XLOOKUP(AJ$1,dataRowRange,ActualDataRange))</f>
        <v>55055</v>
      </c>
      <c r="AK11" s="31" t="str" cm="1">
        <f t="array" ref="AK11">_xlfn.XLOOKUP($A11,DataColumnRange,_xlfn.XLOOKUP(AK$1,dataRowRange,ActualDataRange))</f>
        <v>171276181</v>
      </c>
      <c r="AL11" s="31" t="str" cm="1">
        <f t="array" ref="AL11">_xlfn.XLOOKUP($A11,DataColumnRange,_xlfn.XLOOKUP(AL$1,dataRowRange,ActualDataRange))</f>
        <v>International</v>
      </c>
      <c r="AM11" s="31" cm="1">
        <f t="array" ref="AM11">_xlfn.XLOOKUP($A11,DataColumnRange,_xlfn.XLOOKUP(AM$1,dataRowRange,ActualDataRange))</f>
        <v>0</v>
      </c>
    </row>
  </sheetData>
  <hyperlinks>
    <hyperlink ref="A1" location="TestCaseConfig!A1" display="TestCases" xr:uid="{D8FC54B9-1558-4C9B-8BEE-B07C48742469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0742-2F64-BB4D-931D-0ED7AB74219D}">
  <dimension ref="A1:AM11"/>
  <sheetViews>
    <sheetView topLeftCell="B1" workbookViewId="0">
      <selection activeCell="E1" sqref="E1:E1048576"/>
    </sheetView>
  </sheetViews>
  <sheetFormatPr defaultColWidth="11" defaultRowHeight="15.5"/>
  <cols>
    <col min="1" max="1" width="158.58203125" bestFit="1" customWidth="1"/>
    <col min="3" max="3" width="57.58203125" bestFit="1" customWidth="1"/>
    <col min="5" max="5" width="14.58203125" bestFit="1" customWidth="1"/>
    <col min="6" max="6" width="22.08203125" customWidth="1"/>
    <col min="7" max="7" width="24.5" customWidth="1"/>
    <col min="11" max="11" width="8.75" customWidth="1"/>
    <col min="12" max="12" width="47.33203125" bestFit="1" customWidth="1"/>
  </cols>
  <sheetData>
    <row r="1" spans="1:39" s="11" customFormat="1" ht="16" thickBot="1">
      <c r="A1" s="19" t="s">
        <v>118</v>
      </c>
      <c r="B1" s="20" t="s">
        <v>2</v>
      </c>
      <c r="C1" s="20" t="s">
        <v>24</v>
      </c>
      <c r="D1" s="20" t="s">
        <v>110</v>
      </c>
      <c r="E1" s="20" t="s">
        <v>210</v>
      </c>
      <c r="F1" s="20" t="s">
        <v>122</v>
      </c>
      <c r="G1" s="20" t="s">
        <v>123</v>
      </c>
      <c r="H1" s="21" t="s">
        <v>101</v>
      </c>
      <c r="I1" s="20" t="s">
        <v>32</v>
      </c>
      <c r="J1" s="20" t="s">
        <v>140</v>
      </c>
      <c r="K1" s="20" t="s">
        <v>141</v>
      </c>
      <c r="L1" s="20" t="s">
        <v>211</v>
      </c>
      <c r="M1" s="27" t="s">
        <v>196</v>
      </c>
      <c r="N1" s="25" t="s">
        <v>146</v>
      </c>
      <c r="O1" s="20" t="s">
        <v>144</v>
      </c>
      <c r="P1" s="27" t="s">
        <v>150</v>
      </c>
      <c r="Q1" s="20" t="s">
        <v>147</v>
      </c>
      <c r="R1" s="20" t="s">
        <v>148</v>
      </c>
      <c r="S1" s="26" t="s">
        <v>149</v>
      </c>
      <c r="T1" s="20" t="s">
        <v>151</v>
      </c>
      <c r="U1" s="20" t="s">
        <v>5</v>
      </c>
      <c r="V1" s="20" t="s">
        <v>6</v>
      </c>
      <c r="W1" s="20" t="s">
        <v>7</v>
      </c>
      <c r="X1" s="20" t="s">
        <v>8</v>
      </c>
      <c r="Y1" s="20" t="s">
        <v>10</v>
      </c>
      <c r="Z1" s="20" t="s">
        <v>56</v>
      </c>
      <c r="AA1" s="20" t="s">
        <v>59</v>
      </c>
      <c r="AB1" s="20" t="s">
        <v>11</v>
      </c>
      <c r="AC1" s="20" t="s">
        <v>12</v>
      </c>
      <c r="AD1" s="20" t="s">
        <v>13</v>
      </c>
      <c r="AE1" s="20" t="s">
        <v>40</v>
      </c>
      <c r="AF1" s="20" t="s">
        <v>153</v>
      </c>
      <c r="AG1" s="20" t="s">
        <v>154</v>
      </c>
      <c r="AH1" s="20" t="s">
        <v>155</v>
      </c>
      <c r="AI1" s="20" t="s">
        <v>156</v>
      </c>
      <c r="AJ1" s="25" t="s">
        <v>157</v>
      </c>
      <c r="AK1" s="20" t="s">
        <v>102</v>
      </c>
      <c r="AL1" s="20" t="s">
        <v>207</v>
      </c>
      <c r="AM1" s="20" t="s">
        <v>73</v>
      </c>
    </row>
    <row r="2" spans="1:39" ht="17" thickBot="1">
      <c r="A2" s="65" t="s">
        <v>274</v>
      </c>
      <c r="B2" s="42" t="s">
        <v>45</v>
      </c>
      <c r="C2" s="32" t="s">
        <v>54</v>
      </c>
      <c r="D2" s="40" t="str">
        <f>IF(TestCaseConfig!$B$2="Yes","Yes","No")</f>
        <v>Yes</v>
      </c>
      <c r="E2" s="31" t="str" cm="1">
        <f t="array" ref="E2">_xlfn.XLOOKUP($A2,DataColumnRange,_xlfn.XLOOKUP(E$1,dataRowRange,ActualDataRange))</f>
        <v>PHARMA</v>
      </c>
      <c r="F2" s="31" t="str" cm="1">
        <f t="array" ref="F2">_xlfn.XLOOKUP($A2,DataColumnRange,_xlfn.XLOOKUP(F$1,dataRowRange,ActualDataRange))</f>
        <v>sumit.choudhary@delta.com</v>
      </c>
      <c r="G2" s="31" t="str" cm="1">
        <f t="array" ref="G2">_xlfn.XLOOKUP($A2,DataColumnRange,_xlfn.XLOOKUP(G$1,dataRowRange,ActualDataRange))</f>
        <v>Delta2</v>
      </c>
      <c r="H2" s="31" t="b" cm="1">
        <f t="array" ref="H2">_xlfn.XLOOKUP($A2,DataColumnRange,_xlfn.XLOOKUP(H$1,dataRowRange,ActualDataRange))</f>
        <v>1</v>
      </c>
      <c r="I2" s="31" t="str" cm="1">
        <f t="array" ref="I2">_xlfn.XLOOKUP($A2,DataColumnRange,_xlfn.XLOOKUP(I$1,dataRowRange,ActualDataRange))</f>
        <v>NA</v>
      </c>
      <c r="J2" s="31" t="str" cm="1">
        <f t="array" ref="J2">_xlfn.XLOOKUP($A2,DataColumnRange,_xlfn.XLOOKUP(J$1,dataRowRange,ActualDataRange))</f>
        <v>BOS</v>
      </c>
      <c r="K2" s="31" t="str" cm="1">
        <f t="array" ref="K2">_xlfn.XLOOKUP($A2,DataColumnRange,_xlfn.XLOOKUP(K$1,dataRowRange,ActualDataRange))</f>
        <v>SFO</v>
      </c>
      <c r="L2" s="31" t="str" cm="1">
        <f t="array" ref="L2">_xlfn.XLOOKUP($A2,DataColumnRange,_xlfn.XLOOKUP(L$1,dataRowRange,ActualDataRange))</f>
        <v>Pharma 1 - Active Container</v>
      </c>
      <c r="M2" s="31" t="str" cm="1">
        <f t="array" ref="M2">_xlfn.XLOOKUP($A2,DataColumnRange,_xlfn.XLOOKUP(M$1,dataRowRange,ActualDataRange))</f>
        <v>Test Pharma</v>
      </c>
      <c r="N2" s="31" cm="1">
        <f t="array" ref="N2">_xlfn.XLOOKUP($A2,DataColumnRange,_xlfn.XLOOKUP(N$1,dataRowRange,ActualDataRange))</f>
        <v>11</v>
      </c>
      <c r="O2" s="31" t="str" cm="1">
        <f t="array" ref="O2">_xlfn.XLOOKUP($A2,DataColumnRange,_xlfn.XLOOKUP(O$1,dataRowRange,ActualDataRange))</f>
        <v>KG</v>
      </c>
      <c r="P2" s="31" cm="1">
        <f t="array" ref="P2">_xlfn.XLOOKUP($A2,DataColumnRange,_xlfn.XLOOKUP(P$1,dataRowRange,ActualDataRange))</f>
        <v>1</v>
      </c>
      <c r="Q2" s="31" t="str" cm="1">
        <f t="array" ref="Q2">_xlfn.XLOOKUP($A2,DataColumnRange,_xlfn.XLOOKUP(Q$1,dataRowRange,ActualDataRange))</f>
        <v>NA</v>
      </c>
      <c r="R2" s="31" t="str" cm="1">
        <f t="array" ref="R2">_xlfn.XLOOKUP($A2,DataColumnRange,_xlfn.XLOOKUP(R$1,dataRowRange,ActualDataRange))</f>
        <v>NA</v>
      </c>
      <c r="S2" s="31" t="str" cm="1">
        <f t="array" ref="S2">_xlfn.XLOOKUP($A2,DataColumnRange,_xlfn.XLOOKUP(S$1,dataRowRange,ActualDataRange))</f>
        <v>NA</v>
      </c>
      <c r="T2" s="31" t="str" cm="1">
        <f t="array" ref="T2">_xlfn.XLOOKUP($A2,DataColumnRange,_xlfn.XLOOKUP(T$1,dataRowRange,ActualDataRange))</f>
        <v>NA</v>
      </c>
      <c r="U2" s="31" t="str" cm="1">
        <f t="array" ref="U2">_xlfn.XLOOKUP($A2,DataColumnRange,_xlfn.XLOOKUP(U$1,dataRowRange,ActualDataRange))</f>
        <v>NA</v>
      </c>
      <c r="V2" s="31" t="str" cm="1">
        <f t="array" ref="V2">_xlfn.XLOOKUP($A2,DataColumnRange,_xlfn.XLOOKUP(V$1,dataRowRange,ActualDataRange))</f>
        <v>No</v>
      </c>
      <c r="W2" s="31" t="str" cm="1">
        <f t="array" ref="W2">_xlfn.XLOOKUP($A2,DataColumnRange,_xlfn.XLOOKUP(W$1,dataRowRange,ActualDataRange))</f>
        <v>No</v>
      </c>
      <c r="X2" s="31" t="str" cm="1">
        <f t="array" ref="X2">_xlfn.XLOOKUP($A2,DataColumnRange,_xlfn.XLOOKUP(X$1,dataRowRange,ActualDataRange))</f>
        <v>No</v>
      </c>
      <c r="Y2" s="31" cm="1">
        <f t="array" ref="Y2">_xlfn.XLOOKUP($A2,DataColumnRange,_xlfn.XLOOKUP(Y$1,dataRowRange,ActualDataRange))</f>
        <v>3</v>
      </c>
      <c r="Z2" s="31" t="str" cm="1">
        <f t="array" ref="Z2">_xlfn.XLOOKUP($A2,DataColumnRange,_xlfn.XLOOKUP(Z$1,dataRowRange,ActualDataRange))</f>
        <v>No</v>
      </c>
      <c r="AA2" s="31" t="str" cm="1">
        <f t="array" ref="AA2">_xlfn.XLOOKUP($A2,DataColumnRange,_xlfn.XLOOKUP(AA$1,dataRowRange,ActualDataRange))</f>
        <v>Csafe RAP</v>
      </c>
      <c r="AB2" s="31" t="str" cm="1">
        <f t="array" ref="AB2">_xlfn.XLOOKUP($A2,DataColumnRange,_xlfn.XLOOKUP(AB$1,dataRowRange,ActualDataRange))</f>
        <v>000260018</v>
      </c>
      <c r="AC2" s="31" t="str" cm="1">
        <f t="array" ref="AC2">_xlfn.XLOOKUP($A2,DataColumnRange,_xlfn.XLOOKUP(AC$1,dataRowRange,ActualDataRange))</f>
        <v>GeneralCargoTemplate</v>
      </c>
      <c r="AD2" s="31" t="str" cm="1">
        <f t="array" ref="AD2">_xlfn.XLOOKUP($A2,DataColumnRange,_xlfn.XLOOKUP(AD$1,dataRowRange,ActualDataRange))</f>
        <v>CreditCard</v>
      </c>
      <c r="AE2" s="31" t="str" cm="1">
        <f t="array" ref="AE2">_xlfn.XLOOKUP($A2,DataColumnRange,_xlfn.XLOOKUP(AE$1,dataRowRange,ActualDataRange))</f>
        <v>NA</v>
      </c>
      <c r="AF2" s="31" t="str" cm="1">
        <f t="array" ref="AF2">_xlfn.XLOOKUP($A2,DataColumnRange,_xlfn.XLOOKUP(AF$1,dataRowRange,ActualDataRange))</f>
        <v>Test1</v>
      </c>
      <c r="AG2" s="31" t="str" cm="1">
        <f t="array" ref="AG2">_xlfn.XLOOKUP($A2,DataColumnRange,_xlfn.XLOOKUP(AG$1,dataRowRange,ActualDataRange))</f>
        <v>Test2</v>
      </c>
      <c r="AH2" s="31" t="str" cm="1">
        <f t="array" ref="AH2">_xlfn.XLOOKUP($A2,DataColumnRange,_xlfn.XLOOKUP(AH$1,dataRowRange,ActualDataRange))</f>
        <v>Atlanta</v>
      </c>
      <c r="AI2" s="31" t="str" cm="1">
        <f t="array" ref="AI2">_xlfn.XLOOKUP($A2,DataColumnRange,_xlfn.XLOOKUP(AI$1,dataRowRange,ActualDataRange))</f>
        <v>Georgia</v>
      </c>
      <c r="AJ2" s="31" cm="1">
        <f t="array" ref="AJ2">_xlfn.XLOOKUP($A2,DataColumnRange,_xlfn.XLOOKUP(AJ$1,dataRowRange,ActualDataRange))</f>
        <v>55055</v>
      </c>
      <c r="AK2" s="31" t="str" cm="1">
        <f t="array" ref="AK2">_xlfn.XLOOKUP($A2,DataColumnRange,_xlfn.XLOOKUP(AK$1,dataRowRange,ActualDataRange))</f>
        <v>000075010</v>
      </c>
      <c r="AL2" s="31" t="str" cm="1">
        <f t="array" ref="AL2">_xlfn.XLOOKUP($A2,DataColumnRange,_xlfn.XLOOKUP(AL$1,dataRowRange,ActualDataRange))</f>
        <v>Domestic</v>
      </c>
      <c r="AM2" s="31" cm="1">
        <f t="array" ref="AM2">_xlfn.XLOOKUP($A2,DataColumnRange,_xlfn.XLOOKUP(AM$1,dataRowRange,ActualDataRange))</f>
        <v>0</v>
      </c>
    </row>
    <row r="3" spans="1:39" ht="17" thickBot="1">
      <c r="A3" s="65" t="s">
        <v>275</v>
      </c>
      <c r="B3" s="43" t="s">
        <v>45</v>
      </c>
      <c r="C3" s="32" t="s">
        <v>175</v>
      </c>
      <c r="D3" s="40" t="str">
        <f>IF(TestCaseConfig!$B$2="Yes","Yes","No")</f>
        <v>Yes</v>
      </c>
      <c r="E3" s="31" t="str" cm="1">
        <f t="array" ref="E3">_xlfn.XLOOKUP($A3,DataColumnRange,_xlfn.XLOOKUP(E$1,dataRowRange,ActualDataRange))</f>
        <v>PHARMA</v>
      </c>
      <c r="F3" s="31" t="str" cm="1">
        <f t="array" ref="F3">_xlfn.XLOOKUP($A3,DataColumnRange,_xlfn.XLOOKUP(F$1,dataRowRange,ActualDataRange))</f>
        <v>sumit.choudhary@delta.com</v>
      </c>
      <c r="G3" s="31" t="str" cm="1">
        <f t="array" ref="G3">_xlfn.XLOOKUP($A3,DataColumnRange,_xlfn.XLOOKUP(G$1,dataRowRange,ActualDataRange))</f>
        <v>Delta2</v>
      </c>
      <c r="H3" s="31" t="b" cm="1">
        <f t="array" ref="H3">_xlfn.XLOOKUP($A3,DataColumnRange,_xlfn.XLOOKUP(H$1,dataRowRange,ActualDataRange))</f>
        <v>1</v>
      </c>
      <c r="I3" s="31" t="str" cm="1">
        <f t="array" ref="I3">_xlfn.XLOOKUP($A3,DataColumnRange,_xlfn.XLOOKUP(I$1,dataRowRange,ActualDataRange))</f>
        <v>NA</v>
      </c>
      <c r="J3" s="31" t="str" cm="1">
        <f t="array" ref="J3">_xlfn.XLOOKUP($A3,DataColumnRange,_xlfn.XLOOKUP(J$1,dataRowRange,ActualDataRange))</f>
        <v>DTW</v>
      </c>
      <c r="K3" s="31" t="str" cm="1">
        <f t="array" ref="K3">_xlfn.XLOOKUP($A3,DataColumnRange,_xlfn.XLOOKUP(K$1,dataRowRange,ActualDataRange))</f>
        <v>PDX</v>
      </c>
      <c r="L3" s="31" t="str" cm="1">
        <f t="array" ref="L3">_xlfn.XLOOKUP($A3,DataColumnRange,_xlfn.XLOOKUP(L$1,dataRowRange,ActualDataRange))</f>
        <v>Pharma 1 - Passive Container</v>
      </c>
      <c r="M3" s="31" t="str" cm="1">
        <f t="array" ref="M3">_xlfn.XLOOKUP($A3,DataColumnRange,_xlfn.XLOOKUP(M$1,dataRowRange,ActualDataRange))</f>
        <v>Test Pharma</v>
      </c>
      <c r="N3" s="31" cm="1">
        <f t="array" ref="N3">_xlfn.XLOOKUP($A3,DataColumnRange,_xlfn.XLOOKUP(N$1,dataRowRange,ActualDataRange))</f>
        <v>12</v>
      </c>
      <c r="O3" s="31" t="str" cm="1">
        <f t="array" ref="O3">_xlfn.XLOOKUP($A3,DataColumnRange,_xlfn.XLOOKUP(O$1,dataRowRange,ActualDataRange))</f>
        <v>LB</v>
      </c>
      <c r="P3" s="31" cm="1">
        <f t="array" ref="P3">_xlfn.XLOOKUP($A3,DataColumnRange,_xlfn.XLOOKUP(P$1,dataRowRange,ActualDataRange))</f>
        <v>1</v>
      </c>
      <c r="Q3" s="31" t="str" cm="1">
        <f t="array" ref="Q3">_xlfn.XLOOKUP($A3,DataColumnRange,_xlfn.XLOOKUP(Q$1,dataRowRange,ActualDataRange))</f>
        <v>NA</v>
      </c>
      <c r="R3" s="31" t="str" cm="1">
        <f t="array" ref="R3">_xlfn.XLOOKUP($A3,DataColumnRange,_xlfn.XLOOKUP(R$1,dataRowRange,ActualDataRange))</f>
        <v>NA</v>
      </c>
      <c r="S3" s="31" t="str" cm="1">
        <f t="array" ref="S3">_xlfn.XLOOKUP($A3,DataColumnRange,_xlfn.XLOOKUP(S$1,dataRowRange,ActualDataRange))</f>
        <v>NA</v>
      </c>
      <c r="T3" s="31" t="str" cm="1">
        <f t="array" ref="T3">_xlfn.XLOOKUP($A3,DataColumnRange,_xlfn.XLOOKUP(T$1,dataRowRange,ActualDataRange))</f>
        <v>NA</v>
      </c>
      <c r="U3" s="31" t="str" cm="1">
        <f t="array" ref="U3">_xlfn.XLOOKUP($A3,DataColumnRange,_xlfn.XLOOKUP(U$1,dataRowRange,ActualDataRange))</f>
        <v>NA</v>
      </c>
      <c r="V3" s="31" t="str" cm="1">
        <f t="array" ref="V3">_xlfn.XLOOKUP($A3,DataColumnRange,_xlfn.XLOOKUP(V$1,dataRowRange,ActualDataRange))</f>
        <v>No</v>
      </c>
      <c r="W3" s="31" t="str" cm="1">
        <f t="array" ref="W3">_xlfn.XLOOKUP($A3,DataColumnRange,_xlfn.XLOOKUP(W$1,dataRowRange,ActualDataRange))</f>
        <v>No</v>
      </c>
      <c r="X3" s="31" t="str" cm="1">
        <f t="array" ref="X3">_xlfn.XLOOKUP($A3,DataColumnRange,_xlfn.XLOOKUP(X$1,dataRowRange,ActualDataRange))</f>
        <v>No</v>
      </c>
      <c r="Y3" s="31" cm="1">
        <f t="array" ref="Y3">_xlfn.XLOOKUP($A3,DataColumnRange,_xlfn.XLOOKUP(Y$1,dataRowRange,ActualDataRange))</f>
        <v>4</v>
      </c>
      <c r="Z3" s="31" t="str" cm="1">
        <f t="array" ref="Z3">_xlfn.XLOOKUP($A3,DataColumnRange,_xlfn.XLOOKUP(Z$1,dataRowRange,ActualDataRange))</f>
        <v>No</v>
      </c>
      <c r="AA3" s="31" t="str" cm="1">
        <f t="array" ref="AA3">_xlfn.XLOOKUP($A3,DataColumnRange,_xlfn.XLOOKUP(AA$1,dataRowRange,ActualDataRange))</f>
        <v>VA-Q-Case Half Euro</v>
      </c>
      <c r="AB3" s="31" t="str" cm="1">
        <f t="array" ref="AB3">_xlfn.XLOOKUP($A3,DataColumnRange,_xlfn.XLOOKUP(AB$1,dataRowRange,ActualDataRange))</f>
        <v>000260018</v>
      </c>
      <c r="AC3" s="31" t="str" cm="1">
        <f t="array" ref="AC3">_xlfn.XLOOKUP($A3,DataColumnRange,_xlfn.XLOOKUP(AC$1,dataRowRange,ActualDataRange))</f>
        <v>GeneralCargoTemplate</v>
      </c>
      <c r="AD3" s="31" t="str" cm="1">
        <f t="array" ref="AD3">_xlfn.XLOOKUP($A3,DataColumnRange,_xlfn.XLOOKUP(AD$1,dataRowRange,ActualDataRange))</f>
        <v>CreditCard</v>
      </c>
      <c r="AE3" s="31" t="str" cm="1">
        <f t="array" ref="AE3">_xlfn.XLOOKUP($A3,DataColumnRange,_xlfn.XLOOKUP(AE$1,dataRowRange,ActualDataRange))</f>
        <v>NA</v>
      </c>
      <c r="AF3" s="31" t="str" cm="1">
        <f t="array" ref="AF3">_xlfn.XLOOKUP($A3,DataColumnRange,_xlfn.XLOOKUP(AF$1,dataRowRange,ActualDataRange))</f>
        <v>Test1</v>
      </c>
      <c r="AG3" s="31" t="str" cm="1">
        <f t="array" ref="AG3">_xlfn.XLOOKUP($A3,DataColumnRange,_xlfn.XLOOKUP(AG$1,dataRowRange,ActualDataRange))</f>
        <v>Test2</v>
      </c>
      <c r="AH3" s="31" t="str" cm="1">
        <f t="array" ref="AH3">_xlfn.XLOOKUP($A3,DataColumnRange,_xlfn.XLOOKUP(AH$1,dataRowRange,ActualDataRange))</f>
        <v>Atlanta</v>
      </c>
      <c r="AI3" s="31" t="str" cm="1">
        <f t="array" ref="AI3">_xlfn.XLOOKUP($A3,DataColumnRange,_xlfn.XLOOKUP(AI$1,dataRowRange,ActualDataRange))</f>
        <v>Georgia</v>
      </c>
      <c r="AJ3" s="31" cm="1">
        <f t="array" ref="AJ3">_xlfn.XLOOKUP($A3,DataColumnRange,_xlfn.XLOOKUP(AJ$1,dataRowRange,ActualDataRange))</f>
        <v>55055</v>
      </c>
      <c r="AK3" s="31" t="str" cm="1">
        <f t="array" ref="AK3">_xlfn.XLOOKUP($A3,DataColumnRange,_xlfn.XLOOKUP(AK$1,dataRowRange,ActualDataRange))</f>
        <v>000075010</v>
      </c>
      <c r="AL3" s="31" t="str" cm="1">
        <f t="array" ref="AL3">_xlfn.XLOOKUP($A3,DataColumnRange,_xlfn.XLOOKUP(AL$1,dataRowRange,ActualDataRange))</f>
        <v>Domestic</v>
      </c>
      <c r="AM3" s="31" cm="1">
        <f t="array" ref="AM3">_xlfn.XLOOKUP($A3,DataColumnRange,_xlfn.XLOOKUP(AM$1,dataRowRange,ActualDataRange))</f>
        <v>0</v>
      </c>
    </row>
    <row r="4" spans="1:39" ht="17" thickBot="1">
      <c r="A4" s="65" t="s">
        <v>276</v>
      </c>
      <c r="B4" s="43" t="s">
        <v>45</v>
      </c>
      <c r="C4" s="32" t="s">
        <v>63</v>
      </c>
      <c r="D4" s="40" t="str">
        <f>IF(TestCaseConfig!$B$2="Yes","Yes","No")</f>
        <v>Yes</v>
      </c>
      <c r="E4" s="31" t="str" cm="1">
        <f t="array" ref="E4">_xlfn.XLOOKUP($A4,DataColumnRange,_xlfn.XLOOKUP(E$1,dataRowRange,ActualDataRange))</f>
        <v>PHARMA</v>
      </c>
      <c r="F4" s="31" t="str" cm="1">
        <f t="array" ref="F4">_xlfn.XLOOKUP($A4,DataColumnRange,_xlfn.XLOOKUP(F$1,dataRowRange,ActualDataRange))</f>
        <v>sumit.choudhary@delta.com</v>
      </c>
      <c r="G4" s="31" t="str" cm="1">
        <f t="array" ref="G4">_xlfn.XLOOKUP($A4,DataColumnRange,_xlfn.XLOOKUP(G$1,dataRowRange,ActualDataRange))</f>
        <v>Delta2</v>
      </c>
      <c r="H4" s="31" t="b" cm="1">
        <f t="array" ref="H4">_xlfn.XLOOKUP($A4,DataColumnRange,_xlfn.XLOOKUP(H$1,dataRowRange,ActualDataRange))</f>
        <v>1</v>
      </c>
      <c r="I4" s="31" t="str" cm="1">
        <f t="array" ref="I4">_xlfn.XLOOKUP($A4,DataColumnRange,_xlfn.XLOOKUP(I$1,dataRowRange,ActualDataRange))</f>
        <v>NA</v>
      </c>
      <c r="J4" s="31" t="str" cm="1">
        <f t="array" ref="J4">_xlfn.XLOOKUP($A4,DataColumnRange,_xlfn.XLOOKUP(J$1,dataRowRange,ActualDataRange))</f>
        <v>ORD</v>
      </c>
      <c r="K4" s="31" t="str" cm="1">
        <f t="array" ref="K4">_xlfn.XLOOKUP($A4,DataColumnRange,_xlfn.XLOOKUP(K$1,dataRowRange,ActualDataRange))</f>
        <v>SEA</v>
      </c>
      <c r="L4" s="31" t="str" cm="1">
        <f t="array" ref="L4">_xlfn.XLOOKUP($A4,DataColumnRange,_xlfn.XLOOKUP(L$1,dataRowRange,ActualDataRange))</f>
        <v>Pharma 2 - Temperature controlled between +2°C to +8°C</v>
      </c>
      <c r="M4" s="31" t="str" cm="1">
        <f t="array" ref="M4">_xlfn.XLOOKUP($A4,DataColumnRange,_xlfn.XLOOKUP(M$1,dataRowRange,ActualDataRange))</f>
        <v>Test Pharma</v>
      </c>
      <c r="N4" s="31" cm="1">
        <f t="array" ref="N4">_xlfn.XLOOKUP($A4,DataColumnRange,_xlfn.XLOOKUP(N$1,dataRowRange,ActualDataRange))</f>
        <v>55</v>
      </c>
      <c r="O4" s="31" t="str" cm="1">
        <f t="array" ref="O4">_xlfn.XLOOKUP($A4,DataColumnRange,_xlfn.XLOOKUP(O$1,dataRowRange,ActualDataRange))</f>
        <v>KG</v>
      </c>
      <c r="P4" s="31" cm="1">
        <f t="array" ref="P4">_xlfn.XLOOKUP($A4,DataColumnRange,_xlfn.XLOOKUP(P$1,dataRowRange,ActualDataRange))</f>
        <v>2</v>
      </c>
      <c r="Q4" s="31" cm="1">
        <f t="array" ref="Q4">_xlfn.XLOOKUP($A4,DataColumnRange,_xlfn.XLOOKUP(Q$1,dataRowRange,ActualDataRange))</f>
        <v>10</v>
      </c>
      <c r="R4" s="31" cm="1">
        <f t="array" ref="R4">_xlfn.XLOOKUP($A4,DataColumnRange,_xlfn.XLOOKUP(R$1,dataRowRange,ActualDataRange))</f>
        <v>10</v>
      </c>
      <c r="S4" s="31" cm="1">
        <f t="array" ref="S4">_xlfn.XLOOKUP($A4,DataColumnRange,_xlfn.XLOOKUP(S$1,dataRowRange,ActualDataRange))</f>
        <v>10</v>
      </c>
      <c r="T4" s="31" t="str" cm="1">
        <f t="array" ref="T4">_xlfn.XLOOKUP($A4,DataColumnRange,_xlfn.XLOOKUP(T$1,dataRowRange,ActualDataRange))</f>
        <v>CM</v>
      </c>
      <c r="U4" s="31" t="str" cm="1">
        <f t="array" ref="U4">_xlfn.XLOOKUP($A4,DataColumnRange,_xlfn.XLOOKUP(U$1,dataRowRange,ActualDataRange))</f>
        <v>NA</v>
      </c>
      <c r="V4" s="31" t="str" cm="1">
        <f t="array" ref="V4">_xlfn.XLOOKUP($A4,DataColumnRange,_xlfn.XLOOKUP(V$1,dataRowRange,ActualDataRange))</f>
        <v>No</v>
      </c>
      <c r="W4" s="31" t="str" cm="1">
        <f t="array" ref="W4">_xlfn.XLOOKUP($A4,DataColumnRange,_xlfn.XLOOKUP(W$1,dataRowRange,ActualDataRange))</f>
        <v>No</v>
      </c>
      <c r="X4" s="31" t="str" cm="1">
        <f t="array" ref="X4">_xlfn.XLOOKUP($A4,DataColumnRange,_xlfn.XLOOKUP(X$1,dataRowRange,ActualDataRange))</f>
        <v>No</v>
      </c>
      <c r="Y4" s="31" cm="1">
        <f t="array" ref="Y4">_xlfn.XLOOKUP($A4,DataColumnRange,_xlfn.XLOOKUP(Y$1,dataRowRange,ActualDataRange))</f>
        <v>5</v>
      </c>
      <c r="Z4" s="31" t="str" cm="1">
        <f t="array" ref="Z4">_xlfn.XLOOKUP($A4,DataColumnRange,_xlfn.XLOOKUP(Z$1,dataRowRange,ActualDataRange))</f>
        <v>No</v>
      </c>
      <c r="AA4" s="31" t="str" cm="1">
        <f t="array" ref="AA4">_xlfn.XLOOKUP($A4,DataColumnRange,_xlfn.XLOOKUP(AA$1,dataRowRange,ActualDataRange))</f>
        <v>NA</v>
      </c>
      <c r="AB4" s="31" t="str" cm="1">
        <f t="array" ref="AB4">_xlfn.XLOOKUP($A4,DataColumnRange,_xlfn.XLOOKUP(AB$1,dataRowRange,ActualDataRange))</f>
        <v>000260018</v>
      </c>
      <c r="AC4" s="31" t="str" cm="1">
        <f t="array" ref="AC4">_xlfn.XLOOKUP($A4,DataColumnRange,_xlfn.XLOOKUP(AC$1,dataRowRange,ActualDataRange))</f>
        <v>GeneralCargoTemplate</v>
      </c>
      <c r="AD4" s="31" t="str" cm="1">
        <f t="array" ref="AD4">_xlfn.XLOOKUP($A4,DataColumnRange,_xlfn.XLOOKUP(AD$1,dataRowRange,ActualDataRange))</f>
        <v>CreditCard</v>
      </c>
      <c r="AE4" s="31" t="str" cm="1">
        <f t="array" ref="AE4">_xlfn.XLOOKUP($A4,DataColumnRange,_xlfn.XLOOKUP(AE$1,dataRowRange,ActualDataRange))</f>
        <v>NA</v>
      </c>
      <c r="AF4" s="31" t="str" cm="1">
        <f t="array" ref="AF4">_xlfn.XLOOKUP($A4,DataColumnRange,_xlfn.XLOOKUP(AF$1,dataRowRange,ActualDataRange))</f>
        <v>Test1</v>
      </c>
      <c r="AG4" s="31" t="str" cm="1">
        <f t="array" ref="AG4">_xlfn.XLOOKUP($A4,DataColumnRange,_xlfn.XLOOKUP(AG$1,dataRowRange,ActualDataRange))</f>
        <v>Test2</v>
      </c>
      <c r="AH4" s="31" t="str" cm="1">
        <f t="array" ref="AH4">_xlfn.XLOOKUP($A4,DataColumnRange,_xlfn.XLOOKUP(AH$1,dataRowRange,ActualDataRange))</f>
        <v>Atlanta</v>
      </c>
      <c r="AI4" s="31" t="str" cm="1">
        <f t="array" ref="AI4">_xlfn.XLOOKUP($A4,DataColumnRange,_xlfn.XLOOKUP(AI$1,dataRowRange,ActualDataRange))</f>
        <v>Georgia</v>
      </c>
      <c r="AJ4" s="31" cm="1">
        <f t="array" ref="AJ4">_xlfn.XLOOKUP($A4,DataColumnRange,_xlfn.XLOOKUP(AJ$1,dataRowRange,ActualDataRange))</f>
        <v>55055</v>
      </c>
      <c r="AK4" s="31" t="str" cm="1">
        <f t="array" ref="AK4">_xlfn.XLOOKUP($A4,DataColumnRange,_xlfn.XLOOKUP(AK$1,dataRowRange,ActualDataRange))</f>
        <v>000075010</v>
      </c>
      <c r="AL4" s="31" t="str" cm="1">
        <f t="array" ref="AL4">_xlfn.XLOOKUP($A4,DataColumnRange,_xlfn.XLOOKUP(AL$1,dataRowRange,ActualDataRange))</f>
        <v>Domestic</v>
      </c>
      <c r="AM4" s="31" cm="1">
        <f t="array" ref="AM4">_xlfn.XLOOKUP($A4,DataColumnRange,_xlfn.XLOOKUP(AM$1,dataRowRange,ActualDataRange))</f>
        <v>0</v>
      </c>
    </row>
    <row r="5" spans="1:39" ht="17" thickBot="1">
      <c r="A5" s="65" t="s">
        <v>277</v>
      </c>
      <c r="B5" s="43" t="s">
        <v>45</v>
      </c>
      <c r="C5" s="32" t="s">
        <v>193</v>
      </c>
      <c r="D5" s="40" t="str">
        <f>IF(TestCaseConfig!$B$2="Yes","Yes","No")</f>
        <v>Yes</v>
      </c>
      <c r="E5" s="31" t="str" cm="1">
        <f t="array" ref="E5">_xlfn.XLOOKUP($A5,DataColumnRange,_xlfn.XLOOKUP(E$1,dataRowRange,ActualDataRange))</f>
        <v>PHARMA</v>
      </c>
      <c r="F5" s="31" t="str" cm="1">
        <f t="array" ref="F5">_xlfn.XLOOKUP($A5,DataColumnRange,_xlfn.XLOOKUP(F$1,dataRowRange,ActualDataRange))</f>
        <v>sumit.choudhary@delta.com</v>
      </c>
      <c r="G5" s="31" t="str" cm="1">
        <f t="array" ref="G5">_xlfn.XLOOKUP($A5,DataColumnRange,_xlfn.XLOOKUP(G$1,dataRowRange,ActualDataRange))</f>
        <v>Delta2</v>
      </c>
      <c r="H5" s="31" t="b" cm="1">
        <f t="array" ref="H5">_xlfn.XLOOKUP($A5,DataColumnRange,_xlfn.XLOOKUP(H$1,dataRowRange,ActualDataRange))</f>
        <v>1</v>
      </c>
      <c r="I5" s="31" t="str" cm="1">
        <f t="array" ref="I5">_xlfn.XLOOKUP($A5,DataColumnRange,_xlfn.XLOOKUP(I$1,dataRowRange,ActualDataRange))</f>
        <v>NA</v>
      </c>
      <c r="J5" s="31" t="str" cm="1">
        <f t="array" ref="J5">_xlfn.XLOOKUP($A5,DataColumnRange,_xlfn.XLOOKUP(J$1,dataRowRange,ActualDataRange))</f>
        <v>BOS</v>
      </c>
      <c r="K5" s="31" t="str" cm="1">
        <f t="array" ref="K5">_xlfn.XLOOKUP($A5,DataColumnRange,_xlfn.XLOOKUP(K$1,dataRowRange,ActualDataRange))</f>
        <v>JFK</v>
      </c>
      <c r="L5" s="31" t="str" cm="1">
        <f t="array" ref="L5">_xlfn.XLOOKUP($A5,DataColumnRange,_xlfn.XLOOKUP(L$1,dataRowRange,ActualDataRange))</f>
        <v>Pharma 3 - Temperature controlled between +2°C to +25°C</v>
      </c>
      <c r="M5" s="31" t="str" cm="1">
        <f t="array" ref="M5">_xlfn.XLOOKUP($A5,DataColumnRange,_xlfn.XLOOKUP(M$1,dataRowRange,ActualDataRange))</f>
        <v>Test Pharma</v>
      </c>
      <c r="N5" s="31" cm="1">
        <f t="array" ref="N5">_xlfn.XLOOKUP($A5,DataColumnRange,_xlfn.XLOOKUP(N$1,dataRowRange,ActualDataRange))</f>
        <v>75</v>
      </c>
      <c r="O5" s="31" t="str" cm="1">
        <f t="array" ref="O5">_xlfn.XLOOKUP($A5,DataColumnRange,_xlfn.XLOOKUP(O$1,dataRowRange,ActualDataRange))</f>
        <v>LB</v>
      </c>
      <c r="P5" s="31" cm="1">
        <f t="array" ref="P5">_xlfn.XLOOKUP($A5,DataColumnRange,_xlfn.XLOOKUP(P$1,dataRowRange,ActualDataRange))</f>
        <v>3</v>
      </c>
      <c r="Q5" s="31" cm="1">
        <f t="array" ref="Q5">_xlfn.XLOOKUP($A5,DataColumnRange,_xlfn.XLOOKUP(Q$1,dataRowRange,ActualDataRange))</f>
        <v>15</v>
      </c>
      <c r="R5" s="31" cm="1">
        <f t="array" ref="R5">_xlfn.XLOOKUP($A5,DataColumnRange,_xlfn.XLOOKUP(R$1,dataRowRange,ActualDataRange))</f>
        <v>15</v>
      </c>
      <c r="S5" s="31" cm="1">
        <f t="array" ref="S5">_xlfn.XLOOKUP($A5,DataColumnRange,_xlfn.XLOOKUP(S$1,dataRowRange,ActualDataRange))</f>
        <v>15</v>
      </c>
      <c r="T5" s="31" t="str" cm="1">
        <f t="array" ref="T5">_xlfn.XLOOKUP($A5,DataColumnRange,_xlfn.XLOOKUP(T$1,dataRowRange,ActualDataRange))</f>
        <v>IN</v>
      </c>
      <c r="U5" s="31" t="str" cm="1">
        <f t="array" ref="U5">_xlfn.XLOOKUP($A5,DataColumnRange,_xlfn.XLOOKUP(U$1,dataRowRange,ActualDataRange))</f>
        <v>NA</v>
      </c>
      <c r="V5" s="31" t="str" cm="1">
        <f t="array" ref="V5">_xlfn.XLOOKUP($A5,DataColumnRange,_xlfn.XLOOKUP(V$1,dataRowRange,ActualDataRange))</f>
        <v>Yes</v>
      </c>
      <c r="W5" s="31" t="str" cm="1">
        <f t="array" ref="W5">_xlfn.XLOOKUP($A5,DataColumnRange,_xlfn.XLOOKUP(W$1,dataRowRange,ActualDataRange))</f>
        <v>No</v>
      </c>
      <c r="X5" s="31" t="str" cm="1">
        <f t="array" ref="X5">_xlfn.XLOOKUP($A5,DataColumnRange,_xlfn.XLOOKUP(X$1,dataRowRange,ActualDataRange))</f>
        <v>Yes</v>
      </c>
      <c r="Y5" s="31" cm="1">
        <f t="array" ref="Y5">_xlfn.XLOOKUP($A5,DataColumnRange,_xlfn.XLOOKUP(Y$1,dataRowRange,ActualDataRange))</f>
        <v>6</v>
      </c>
      <c r="Z5" s="31" t="str" cm="1">
        <f t="array" ref="Z5">_xlfn.XLOOKUP($A5,DataColumnRange,_xlfn.XLOOKUP(Z$1,dataRowRange,ActualDataRange))</f>
        <v>No</v>
      </c>
      <c r="AA5" s="31" t="str" cm="1">
        <f t="array" ref="AA5">_xlfn.XLOOKUP($A5,DataColumnRange,_xlfn.XLOOKUP(AA$1,dataRowRange,ActualDataRange))</f>
        <v>NA</v>
      </c>
      <c r="AB5" s="31" t="str" cm="1">
        <f t="array" ref="AB5">_xlfn.XLOOKUP($A5,DataColumnRange,_xlfn.XLOOKUP(AB$1,dataRowRange,ActualDataRange))</f>
        <v>000260018</v>
      </c>
      <c r="AC5" s="31" t="str" cm="1">
        <f t="array" ref="AC5">_xlfn.XLOOKUP($A5,DataColumnRange,_xlfn.XLOOKUP(AC$1,dataRowRange,ActualDataRange))</f>
        <v>GeneralCargoTemplate</v>
      </c>
      <c r="AD5" s="31" t="str" cm="1">
        <f t="array" ref="AD5">_xlfn.XLOOKUP($A5,DataColumnRange,_xlfn.XLOOKUP(AD$1,dataRowRange,ActualDataRange))</f>
        <v>CreditCard</v>
      </c>
      <c r="AE5" s="31" t="str" cm="1">
        <f t="array" ref="AE5">_xlfn.XLOOKUP($A5,DataColumnRange,_xlfn.XLOOKUP(AE$1,dataRowRange,ActualDataRange))</f>
        <v>NA</v>
      </c>
      <c r="AF5" s="31" t="str" cm="1">
        <f t="array" ref="AF5">_xlfn.XLOOKUP($A5,DataColumnRange,_xlfn.XLOOKUP(AF$1,dataRowRange,ActualDataRange))</f>
        <v>Test1</v>
      </c>
      <c r="AG5" s="31" t="str" cm="1">
        <f t="array" ref="AG5">_xlfn.XLOOKUP($A5,DataColumnRange,_xlfn.XLOOKUP(AG$1,dataRowRange,ActualDataRange))</f>
        <v>Test2</v>
      </c>
      <c r="AH5" s="31" t="str" cm="1">
        <f t="array" ref="AH5">_xlfn.XLOOKUP($A5,DataColumnRange,_xlfn.XLOOKUP(AH$1,dataRowRange,ActualDataRange))</f>
        <v>Atlanta</v>
      </c>
      <c r="AI5" s="31" t="str" cm="1">
        <f t="array" ref="AI5">_xlfn.XLOOKUP($A5,DataColumnRange,_xlfn.XLOOKUP(AI$1,dataRowRange,ActualDataRange))</f>
        <v>Georgia</v>
      </c>
      <c r="AJ5" s="31" cm="1">
        <f t="array" ref="AJ5">_xlfn.XLOOKUP($A5,DataColumnRange,_xlfn.XLOOKUP(AJ$1,dataRowRange,ActualDataRange))</f>
        <v>55055</v>
      </c>
      <c r="AK5" s="31" t="str" cm="1">
        <f t="array" ref="AK5">_xlfn.XLOOKUP($A5,DataColumnRange,_xlfn.XLOOKUP(AK$1,dataRowRange,ActualDataRange))</f>
        <v>000075010</v>
      </c>
      <c r="AL5" s="31" t="str" cm="1">
        <f t="array" ref="AL5">_xlfn.XLOOKUP($A5,DataColumnRange,_xlfn.XLOOKUP(AL$1,dataRowRange,ActualDataRange))</f>
        <v>Domestic</v>
      </c>
      <c r="AM5" s="31" cm="1">
        <f t="array" ref="AM5">_xlfn.XLOOKUP($A5,DataColumnRange,_xlfn.XLOOKUP(AM$1,dataRowRange,ActualDataRange))</f>
        <v>0</v>
      </c>
    </row>
    <row r="6" spans="1:39" ht="17" thickBot="1">
      <c r="A6" s="65" t="s">
        <v>278</v>
      </c>
      <c r="B6" s="43" t="s">
        <v>45</v>
      </c>
      <c r="C6" s="32" t="s">
        <v>194</v>
      </c>
      <c r="D6" s="40" t="str">
        <f>IF(TestCaseConfig!$B$2="Yes","Yes","No")</f>
        <v>Yes</v>
      </c>
      <c r="E6" s="31" t="str" cm="1">
        <f t="array" ref="E6">_xlfn.XLOOKUP($A6,DataColumnRange,_xlfn.XLOOKUP(E$1,dataRowRange,ActualDataRange))</f>
        <v>PHARMA</v>
      </c>
      <c r="F6" s="31" t="str" cm="1">
        <f t="array" ref="F6">_xlfn.XLOOKUP($A6,DataColumnRange,_xlfn.XLOOKUP(F$1,dataRowRange,ActualDataRange))</f>
        <v>sumit.choudhary@delta.com</v>
      </c>
      <c r="G6" s="31" t="str" cm="1">
        <f t="array" ref="G6">_xlfn.XLOOKUP($A6,DataColumnRange,_xlfn.XLOOKUP(G$1,dataRowRange,ActualDataRange))</f>
        <v>Delta2</v>
      </c>
      <c r="H6" s="31" t="b" cm="1">
        <f t="array" ref="H6">_xlfn.XLOOKUP($A6,DataColumnRange,_xlfn.XLOOKUP(H$1,dataRowRange,ActualDataRange))</f>
        <v>1</v>
      </c>
      <c r="I6" s="31" t="str" cm="1">
        <f t="array" ref="I6">_xlfn.XLOOKUP($A6,DataColumnRange,_xlfn.XLOOKUP(I$1,dataRowRange,ActualDataRange))</f>
        <v>NA</v>
      </c>
      <c r="J6" s="31" t="str" cm="1">
        <f t="array" ref="J6">_xlfn.XLOOKUP($A6,DataColumnRange,_xlfn.XLOOKUP(J$1,dataRowRange,ActualDataRange))</f>
        <v>ATL</v>
      </c>
      <c r="K6" s="31" t="str" cm="1">
        <f t="array" ref="K6">_xlfn.XLOOKUP($A6,DataColumnRange,_xlfn.XLOOKUP(K$1,dataRowRange,ActualDataRange))</f>
        <v>JFK</v>
      </c>
      <c r="L6" s="31" t="str" cm="1">
        <f t="array" ref="L6">_xlfn.XLOOKUP($A6,DataColumnRange,_xlfn.XLOOKUP(L$1,dataRowRange,ActualDataRange))</f>
        <v>Pharma 4 - Temperature controlled between +15°C to +25°C</v>
      </c>
      <c r="M6" s="31" t="str" cm="1">
        <f t="array" ref="M6">_xlfn.XLOOKUP($A6,DataColumnRange,_xlfn.XLOOKUP(M$1,dataRowRange,ActualDataRange))</f>
        <v>Test Pharma</v>
      </c>
      <c r="N6" s="31" cm="1">
        <f t="array" ref="N6">_xlfn.XLOOKUP($A6,DataColumnRange,_xlfn.XLOOKUP(N$1,dataRowRange,ActualDataRange))</f>
        <v>115</v>
      </c>
      <c r="O6" s="31" t="str" cm="1">
        <f t="array" ref="O6">_xlfn.XLOOKUP($A6,DataColumnRange,_xlfn.XLOOKUP(O$1,dataRowRange,ActualDataRange))</f>
        <v>KG</v>
      </c>
      <c r="P6" s="31" cm="1">
        <f t="array" ref="P6">_xlfn.XLOOKUP($A6,DataColumnRange,_xlfn.XLOOKUP(P$1,dataRowRange,ActualDataRange))</f>
        <v>4</v>
      </c>
      <c r="Q6" s="31" cm="1">
        <f t="array" ref="Q6">_xlfn.XLOOKUP($A6,DataColumnRange,_xlfn.XLOOKUP(Q$1,dataRowRange,ActualDataRange))</f>
        <v>18</v>
      </c>
      <c r="R6" s="31" cm="1">
        <f t="array" ref="R6">_xlfn.XLOOKUP($A6,DataColumnRange,_xlfn.XLOOKUP(R$1,dataRowRange,ActualDataRange))</f>
        <v>18</v>
      </c>
      <c r="S6" s="31" cm="1">
        <f t="array" ref="S6">_xlfn.XLOOKUP($A6,DataColumnRange,_xlfn.XLOOKUP(S$1,dataRowRange,ActualDataRange))</f>
        <v>18</v>
      </c>
      <c r="T6" s="31" t="str" cm="1">
        <f t="array" ref="T6">_xlfn.XLOOKUP($A6,DataColumnRange,_xlfn.XLOOKUP(T$1,dataRowRange,ActualDataRange))</f>
        <v>CM</v>
      </c>
      <c r="U6" s="31" t="str" cm="1">
        <f t="array" ref="U6">_xlfn.XLOOKUP($A6,DataColumnRange,_xlfn.XLOOKUP(U$1,dataRowRange,ActualDataRange))</f>
        <v>NA</v>
      </c>
      <c r="V6" s="31" t="str" cm="1">
        <f t="array" ref="V6">_xlfn.XLOOKUP($A6,DataColumnRange,_xlfn.XLOOKUP(V$1,dataRowRange,ActualDataRange))</f>
        <v>No</v>
      </c>
      <c r="W6" s="31" t="str" cm="1">
        <f t="array" ref="W6">_xlfn.XLOOKUP($A6,DataColumnRange,_xlfn.XLOOKUP(W$1,dataRowRange,ActualDataRange))</f>
        <v>No</v>
      </c>
      <c r="X6" s="31" t="str" cm="1">
        <f t="array" ref="X6">_xlfn.XLOOKUP($A6,DataColumnRange,_xlfn.XLOOKUP(X$1,dataRowRange,ActualDataRange))</f>
        <v>Yes</v>
      </c>
      <c r="Y6" s="31" cm="1">
        <f t="array" ref="Y6">_xlfn.XLOOKUP($A6,DataColumnRange,_xlfn.XLOOKUP(Y$1,dataRowRange,ActualDataRange))</f>
        <v>7</v>
      </c>
      <c r="Z6" s="31" t="str" cm="1">
        <f t="array" ref="Z6">_xlfn.XLOOKUP($A6,DataColumnRange,_xlfn.XLOOKUP(Z$1,dataRowRange,ActualDataRange))</f>
        <v>No</v>
      </c>
      <c r="AA6" s="31" t="str" cm="1">
        <f t="array" ref="AA6">_xlfn.XLOOKUP($A6,DataColumnRange,_xlfn.XLOOKUP(AA$1,dataRowRange,ActualDataRange))</f>
        <v>NA</v>
      </c>
      <c r="AB6" s="31" t="str" cm="1">
        <f t="array" ref="AB6">_xlfn.XLOOKUP($A6,DataColumnRange,_xlfn.XLOOKUP(AB$1,dataRowRange,ActualDataRange))</f>
        <v>000260018</v>
      </c>
      <c r="AC6" s="31" t="str" cm="1">
        <f t="array" ref="AC6">_xlfn.XLOOKUP($A6,DataColumnRange,_xlfn.XLOOKUP(AC$1,dataRowRange,ActualDataRange))</f>
        <v>GeneralCargoTemplate</v>
      </c>
      <c r="AD6" s="31" t="str" cm="1">
        <f t="array" ref="AD6">_xlfn.XLOOKUP($A6,DataColumnRange,_xlfn.XLOOKUP(AD$1,dataRowRange,ActualDataRange))</f>
        <v>CreditCard</v>
      </c>
      <c r="AE6" s="31" t="str" cm="1">
        <f t="array" ref="AE6">_xlfn.XLOOKUP($A6,DataColumnRange,_xlfn.XLOOKUP(AE$1,dataRowRange,ActualDataRange))</f>
        <v>NA</v>
      </c>
      <c r="AF6" s="31" t="str" cm="1">
        <f t="array" ref="AF6">_xlfn.XLOOKUP($A6,DataColumnRange,_xlfn.XLOOKUP(AF$1,dataRowRange,ActualDataRange))</f>
        <v>Test1</v>
      </c>
      <c r="AG6" s="31" t="str" cm="1">
        <f t="array" ref="AG6">_xlfn.XLOOKUP($A6,DataColumnRange,_xlfn.XLOOKUP(AG$1,dataRowRange,ActualDataRange))</f>
        <v>Test2</v>
      </c>
      <c r="AH6" s="31" t="str" cm="1">
        <f t="array" ref="AH6">_xlfn.XLOOKUP($A6,DataColumnRange,_xlfn.XLOOKUP(AH$1,dataRowRange,ActualDataRange))</f>
        <v>Atlanta</v>
      </c>
      <c r="AI6" s="31" t="str" cm="1">
        <f t="array" ref="AI6">_xlfn.XLOOKUP($A6,DataColumnRange,_xlfn.XLOOKUP(AI$1,dataRowRange,ActualDataRange))</f>
        <v>Georgia</v>
      </c>
      <c r="AJ6" s="31" cm="1">
        <f t="array" ref="AJ6">_xlfn.XLOOKUP($A6,DataColumnRange,_xlfn.XLOOKUP(AJ$1,dataRowRange,ActualDataRange))</f>
        <v>55055</v>
      </c>
      <c r="AK6" s="31" t="str" cm="1">
        <f t="array" ref="AK6">_xlfn.XLOOKUP($A6,DataColumnRange,_xlfn.XLOOKUP(AK$1,dataRowRange,ActualDataRange))</f>
        <v>000075010</v>
      </c>
      <c r="AL6" s="31" t="str" cm="1">
        <f t="array" ref="AL6">_xlfn.XLOOKUP($A6,DataColumnRange,_xlfn.XLOOKUP(AL$1,dataRowRange,ActualDataRange))</f>
        <v>Domestic</v>
      </c>
      <c r="AM6" s="31" cm="1">
        <f t="array" ref="AM6">_xlfn.XLOOKUP($A6,DataColumnRange,_xlfn.XLOOKUP(AM$1,dataRowRange,ActualDataRange))</f>
        <v>0</v>
      </c>
    </row>
    <row r="7" spans="1:39" ht="17" thickBot="1">
      <c r="A7" s="65" t="s">
        <v>279</v>
      </c>
      <c r="B7" s="43" t="s">
        <v>45</v>
      </c>
      <c r="C7" s="32" t="s">
        <v>54</v>
      </c>
      <c r="D7" s="40" t="str">
        <f>IF(TestCaseConfig!$B$2="Yes","Yes","No")</f>
        <v>Yes</v>
      </c>
      <c r="E7" s="31" t="str" cm="1">
        <f t="array" ref="E7">_xlfn.XLOOKUP($A7,DataColumnRange,_xlfn.XLOOKUP(E$1,dataRowRange,ActualDataRange))</f>
        <v>PHARMA</v>
      </c>
      <c r="F7" s="31" t="str" cm="1">
        <f t="array" ref="F7">_xlfn.XLOOKUP($A7,DataColumnRange,_xlfn.XLOOKUP(F$1,dataRowRange,ActualDataRange))</f>
        <v>sumit.choudhary@delta.com</v>
      </c>
      <c r="G7" s="31" t="str" cm="1">
        <f t="array" ref="G7">_xlfn.XLOOKUP($A7,DataColumnRange,_xlfn.XLOOKUP(G$1,dataRowRange,ActualDataRange))</f>
        <v>Delta2</v>
      </c>
      <c r="H7" s="31" t="b" cm="1">
        <f t="array" ref="H7">_xlfn.XLOOKUP($A7,DataColumnRange,_xlfn.XLOOKUP(H$1,dataRowRange,ActualDataRange))</f>
        <v>1</v>
      </c>
      <c r="I7" s="31" t="str" cm="1">
        <f t="array" ref="I7">_xlfn.XLOOKUP($A7,DataColumnRange,_xlfn.XLOOKUP(I$1,dataRowRange,ActualDataRange))</f>
        <v>NA</v>
      </c>
      <c r="J7" s="31" t="str" cm="1">
        <f t="array" ref="J7">_xlfn.XLOOKUP($A7,DataColumnRange,_xlfn.XLOOKUP(J$1,dataRowRange,ActualDataRange))</f>
        <v>ATL</v>
      </c>
      <c r="K7" s="31" t="str" cm="1">
        <f t="array" ref="K7">_xlfn.XLOOKUP($A7,DataColumnRange,_xlfn.XLOOKUP(K$1,dataRowRange,ActualDataRange))</f>
        <v>LHR</v>
      </c>
      <c r="L7" s="31" t="str" cm="1">
        <f t="array" ref="L7">_xlfn.XLOOKUP($A7,DataColumnRange,_xlfn.XLOOKUP(L$1,dataRowRange,ActualDataRange))</f>
        <v>Pharma 1 - Active Container</v>
      </c>
      <c r="M7" s="31" t="str" cm="1">
        <f t="array" ref="M7">_xlfn.XLOOKUP($A7,DataColumnRange,_xlfn.XLOOKUP(M$1,dataRowRange,ActualDataRange))</f>
        <v>Test Pharma</v>
      </c>
      <c r="N7" s="31" cm="1">
        <f t="array" ref="N7">_xlfn.XLOOKUP($A7,DataColumnRange,_xlfn.XLOOKUP(N$1,dataRowRange,ActualDataRange))</f>
        <v>10</v>
      </c>
      <c r="O7" s="31" t="str" cm="1">
        <f t="array" ref="O7">_xlfn.XLOOKUP($A7,DataColumnRange,_xlfn.XLOOKUP(O$1,dataRowRange,ActualDataRange))</f>
        <v>LB</v>
      </c>
      <c r="P7" s="31" cm="1">
        <f t="array" ref="P7">_xlfn.XLOOKUP($A7,DataColumnRange,_xlfn.XLOOKUP(P$1,dataRowRange,ActualDataRange))</f>
        <v>1</v>
      </c>
      <c r="Q7" s="31" t="str" cm="1">
        <f t="array" ref="Q7">_xlfn.XLOOKUP($A7,DataColumnRange,_xlfn.XLOOKUP(Q$1,dataRowRange,ActualDataRange))</f>
        <v>NA</v>
      </c>
      <c r="R7" s="31" t="str" cm="1">
        <f t="array" ref="R7">_xlfn.XLOOKUP($A7,DataColumnRange,_xlfn.XLOOKUP(R$1,dataRowRange,ActualDataRange))</f>
        <v>NA</v>
      </c>
      <c r="S7" s="31" t="str" cm="1">
        <f t="array" ref="S7">_xlfn.XLOOKUP($A7,DataColumnRange,_xlfn.XLOOKUP(S$1,dataRowRange,ActualDataRange))</f>
        <v>NA</v>
      </c>
      <c r="T7" s="31" t="str" cm="1">
        <f t="array" ref="T7">_xlfn.XLOOKUP($A7,DataColumnRange,_xlfn.XLOOKUP(T$1,dataRowRange,ActualDataRange))</f>
        <v>NA</v>
      </c>
      <c r="U7" s="31" t="str" cm="1">
        <f t="array" ref="U7">_xlfn.XLOOKUP($A7,DataColumnRange,_xlfn.XLOOKUP(U$1,dataRowRange,ActualDataRange))</f>
        <v>NA</v>
      </c>
      <c r="V7" s="31" t="str" cm="1">
        <f t="array" ref="V7">_xlfn.XLOOKUP($A7,DataColumnRange,_xlfn.XLOOKUP(V$1,dataRowRange,ActualDataRange))</f>
        <v>No</v>
      </c>
      <c r="W7" s="31" t="str" cm="1">
        <f t="array" ref="W7">_xlfn.XLOOKUP($A7,DataColumnRange,_xlfn.XLOOKUP(W$1,dataRowRange,ActualDataRange))</f>
        <v>No</v>
      </c>
      <c r="X7" s="31" t="str" cm="1">
        <f t="array" ref="X7">_xlfn.XLOOKUP($A7,DataColumnRange,_xlfn.XLOOKUP(X$1,dataRowRange,ActualDataRange))</f>
        <v>No</v>
      </c>
      <c r="Y7" s="31" cm="1">
        <f t="array" ref="Y7">_xlfn.XLOOKUP($A7,DataColumnRange,_xlfn.XLOOKUP(Y$1,dataRowRange,ActualDataRange))</f>
        <v>2</v>
      </c>
      <c r="Z7" s="31" t="str" cm="1">
        <f t="array" ref="Z7">_xlfn.XLOOKUP($A7,DataColumnRange,_xlfn.XLOOKUP(Z$1,dataRowRange,ActualDataRange))</f>
        <v>No</v>
      </c>
      <c r="AA7" s="31" t="str" cm="1">
        <f t="array" ref="AA7">_xlfn.XLOOKUP($A7,DataColumnRange,_xlfn.XLOOKUP(AA$1,dataRowRange,ActualDataRange))</f>
        <v>NA</v>
      </c>
      <c r="AB7" s="31" t="str" cm="1">
        <f t="array" ref="AB7">_xlfn.XLOOKUP($A7,DataColumnRange,_xlfn.XLOOKUP(AB$1,dataRowRange,ActualDataRange))</f>
        <v>000260018</v>
      </c>
      <c r="AC7" s="31" t="str" cm="1">
        <f t="array" ref="AC7">_xlfn.XLOOKUP($A7,DataColumnRange,_xlfn.XLOOKUP(AC$1,dataRowRange,ActualDataRange))</f>
        <v>GeneralCargoTemplate</v>
      </c>
      <c r="AD7" s="31" t="str" cm="1">
        <f t="array" ref="AD7">_xlfn.XLOOKUP($A7,DataColumnRange,_xlfn.XLOOKUP(AD$1,dataRowRange,ActualDataRange))</f>
        <v>CreditCard</v>
      </c>
      <c r="AE7" s="31" t="str" cm="1">
        <f t="array" ref="AE7">_xlfn.XLOOKUP($A7,DataColumnRange,_xlfn.XLOOKUP(AE$1,dataRowRange,ActualDataRange))</f>
        <v>NA</v>
      </c>
      <c r="AF7" s="31" t="str" cm="1">
        <f t="array" ref="AF7">_xlfn.XLOOKUP($A7,DataColumnRange,_xlfn.XLOOKUP(AF$1,dataRowRange,ActualDataRange))</f>
        <v>Test1</v>
      </c>
      <c r="AG7" s="31" t="str" cm="1">
        <f t="array" ref="AG7">_xlfn.XLOOKUP($A7,DataColumnRange,_xlfn.XLOOKUP(AG$1,dataRowRange,ActualDataRange))</f>
        <v>Test2</v>
      </c>
      <c r="AH7" s="31" t="str" cm="1">
        <f t="array" ref="AH7">_xlfn.XLOOKUP($A7,DataColumnRange,_xlfn.XLOOKUP(AH$1,dataRowRange,ActualDataRange))</f>
        <v>Atlanta</v>
      </c>
      <c r="AI7" s="31" t="str" cm="1">
        <f t="array" ref="AI7">_xlfn.XLOOKUP($A7,DataColumnRange,_xlfn.XLOOKUP(AI$1,dataRowRange,ActualDataRange))</f>
        <v>Georgia</v>
      </c>
      <c r="AJ7" s="31" cm="1">
        <f t="array" ref="AJ7">_xlfn.XLOOKUP($A7,DataColumnRange,_xlfn.XLOOKUP(AJ$1,dataRowRange,ActualDataRange))</f>
        <v>55055</v>
      </c>
      <c r="AK7" s="31" t="str" cm="1">
        <f t="array" ref="AK7">_xlfn.XLOOKUP($A7,DataColumnRange,_xlfn.XLOOKUP(AK$1,dataRowRange,ActualDataRange))</f>
        <v>171276181</v>
      </c>
      <c r="AL7" s="31" t="str" cm="1">
        <f t="array" ref="AL7">_xlfn.XLOOKUP($A7,DataColumnRange,_xlfn.XLOOKUP(AL$1,dataRowRange,ActualDataRange))</f>
        <v>International</v>
      </c>
      <c r="AM7" s="31" cm="1">
        <f t="array" ref="AM7">_xlfn.XLOOKUP($A7,DataColumnRange,_xlfn.XLOOKUP(AM$1,dataRowRange,ActualDataRange))</f>
        <v>0</v>
      </c>
    </row>
    <row r="8" spans="1:39" ht="17" thickBot="1">
      <c r="A8" s="65" t="s">
        <v>280</v>
      </c>
      <c r="B8" s="43" t="s">
        <v>45</v>
      </c>
      <c r="C8" s="32" t="s">
        <v>175</v>
      </c>
      <c r="D8" s="40" t="str">
        <f>IF(TestCaseConfig!$B$2="Yes","Yes","No")</f>
        <v>Yes</v>
      </c>
      <c r="E8" s="31" t="str" cm="1">
        <f t="array" ref="E8">_xlfn.XLOOKUP($A8,DataColumnRange,_xlfn.XLOOKUP(E$1,dataRowRange,ActualDataRange))</f>
        <v>PHARMA</v>
      </c>
      <c r="F8" s="31" t="str" cm="1">
        <f t="array" ref="F8">_xlfn.XLOOKUP($A8,DataColumnRange,_xlfn.XLOOKUP(F$1,dataRowRange,ActualDataRange))</f>
        <v>sumit.choudhary@delta.com</v>
      </c>
      <c r="G8" s="31" t="str" cm="1">
        <f t="array" ref="G8">_xlfn.XLOOKUP($A8,DataColumnRange,_xlfn.XLOOKUP(G$1,dataRowRange,ActualDataRange))</f>
        <v>Delta2</v>
      </c>
      <c r="H8" s="31" t="b" cm="1">
        <f t="array" ref="H8">_xlfn.XLOOKUP($A8,DataColumnRange,_xlfn.XLOOKUP(H$1,dataRowRange,ActualDataRange))</f>
        <v>1</v>
      </c>
      <c r="I8" s="31" t="str" cm="1">
        <f t="array" ref="I8">_xlfn.XLOOKUP($A8,DataColumnRange,_xlfn.XLOOKUP(I$1,dataRowRange,ActualDataRange))</f>
        <v>NA</v>
      </c>
      <c r="J8" s="31" t="str" cm="1">
        <f t="array" ref="J8">_xlfn.XLOOKUP($A8,DataColumnRange,_xlfn.XLOOKUP(J$1,dataRowRange,ActualDataRange))</f>
        <v>ATL</v>
      </c>
      <c r="K8" s="31" t="str" cm="1">
        <f t="array" ref="K8">_xlfn.XLOOKUP($A8,DataColumnRange,_xlfn.XLOOKUP(K$1,dataRowRange,ActualDataRange))</f>
        <v>LHR</v>
      </c>
      <c r="L8" s="31" t="str" cm="1">
        <f t="array" ref="L8">_xlfn.XLOOKUP($A8,DataColumnRange,_xlfn.XLOOKUP(L$1,dataRowRange,ActualDataRange))</f>
        <v>Pharma 1 - Passive Container</v>
      </c>
      <c r="M8" s="31" t="str" cm="1">
        <f t="array" ref="M8">_xlfn.XLOOKUP($A8,DataColumnRange,_xlfn.XLOOKUP(M$1,dataRowRange,ActualDataRange))</f>
        <v>Test Pharma</v>
      </c>
      <c r="N8" s="31" cm="1">
        <f t="array" ref="N8">_xlfn.XLOOKUP($A8,DataColumnRange,_xlfn.XLOOKUP(N$1,dataRowRange,ActualDataRange))</f>
        <v>11</v>
      </c>
      <c r="O8" s="31" t="str" cm="1">
        <f t="array" ref="O8">_xlfn.XLOOKUP($A8,DataColumnRange,_xlfn.XLOOKUP(O$1,dataRowRange,ActualDataRange))</f>
        <v>KG</v>
      </c>
      <c r="P8" s="31" cm="1">
        <f t="array" ref="P8">_xlfn.XLOOKUP($A8,DataColumnRange,_xlfn.XLOOKUP(P$1,dataRowRange,ActualDataRange))</f>
        <v>1</v>
      </c>
      <c r="Q8" s="31" t="str" cm="1">
        <f t="array" ref="Q8">_xlfn.XLOOKUP($A8,DataColumnRange,_xlfn.XLOOKUP(Q$1,dataRowRange,ActualDataRange))</f>
        <v>NA</v>
      </c>
      <c r="R8" s="31" t="str" cm="1">
        <f t="array" ref="R8">_xlfn.XLOOKUP($A8,DataColumnRange,_xlfn.XLOOKUP(R$1,dataRowRange,ActualDataRange))</f>
        <v>NA</v>
      </c>
      <c r="S8" s="31" t="str" cm="1">
        <f t="array" ref="S8">_xlfn.XLOOKUP($A8,DataColumnRange,_xlfn.XLOOKUP(S$1,dataRowRange,ActualDataRange))</f>
        <v>NA</v>
      </c>
      <c r="T8" s="31" t="str" cm="1">
        <f t="array" ref="T8">_xlfn.XLOOKUP($A8,DataColumnRange,_xlfn.XLOOKUP(T$1,dataRowRange,ActualDataRange))</f>
        <v>NA</v>
      </c>
      <c r="U8" s="31" t="str" cm="1">
        <f t="array" ref="U8">_xlfn.XLOOKUP($A8,DataColumnRange,_xlfn.XLOOKUP(U$1,dataRowRange,ActualDataRange))</f>
        <v>NA</v>
      </c>
      <c r="V8" s="31" t="str" cm="1">
        <f t="array" ref="V8">_xlfn.XLOOKUP($A8,DataColumnRange,_xlfn.XLOOKUP(V$1,dataRowRange,ActualDataRange))</f>
        <v>No</v>
      </c>
      <c r="W8" s="31" t="str" cm="1">
        <f t="array" ref="W8">_xlfn.XLOOKUP($A8,DataColumnRange,_xlfn.XLOOKUP(W$1,dataRowRange,ActualDataRange))</f>
        <v>No</v>
      </c>
      <c r="X8" s="31" t="str" cm="1">
        <f t="array" ref="X8">_xlfn.XLOOKUP($A8,DataColumnRange,_xlfn.XLOOKUP(X$1,dataRowRange,ActualDataRange))</f>
        <v>No</v>
      </c>
      <c r="Y8" s="31" cm="1">
        <f t="array" ref="Y8">_xlfn.XLOOKUP($A8,DataColumnRange,_xlfn.XLOOKUP(Y$1,dataRowRange,ActualDataRange))</f>
        <v>3</v>
      </c>
      <c r="Z8" s="31" t="str" cm="1">
        <f t="array" ref="Z8">_xlfn.XLOOKUP($A8,DataColumnRange,_xlfn.XLOOKUP(Z$1,dataRowRange,ActualDataRange))</f>
        <v>No</v>
      </c>
      <c r="AA8" s="31" t="str" cm="1">
        <f t="array" ref="AA8">_xlfn.XLOOKUP($A8,DataColumnRange,_xlfn.XLOOKUP(AA$1,dataRowRange,ActualDataRange))</f>
        <v>NA</v>
      </c>
      <c r="AB8" s="31" t="str" cm="1">
        <f t="array" ref="AB8">_xlfn.XLOOKUP($A8,DataColumnRange,_xlfn.XLOOKUP(AB$1,dataRowRange,ActualDataRange))</f>
        <v>000260018</v>
      </c>
      <c r="AC8" s="31" t="str" cm="1">
        <f t="array" ref="AC8">_xlfn.XLOOKUP($A8,DataColumnRange,_xlfn.XLOOKUP(AC$1,dataRowRange,ActualDataRange))</f>
        <v>GeneralCargoTemplate</v>
      </c>
      <c r="AD8" s="31" t="str" cm="1">
        <f t="array" ref="AD8">_xlfn.XLOOKUP($A8,DataColumnRange,_xlfn.XLOOKUP(AD$1,dataRowRange,ActualDataRange))</f>
        <v>CreditCard</v>
      </c>
      <c r="AE8" s="31" t="str" cm="1">
        <f t="array" ref="AE8">_xlfn.XLOOKUP($A8,DataColumnRange,_xlfn.XLOOKUP(AE$1,dataRowRange,ActualDataRange))</f>
        <v>NA</v>
      </c>
      <c r="AF8" s="31" t="str" cm="1">
        <f t="array" ref="AF8">_xlfn.XLOOKUP($A8,DataColumnRange,_xlfn.XLOOKUP(AF$1,dataRowRange,ActualDataRange))</f>
        <v>Test1</v>
      </c>
      <c r="AG8" s="31" t="str" cm="1">
        <f t="array" ref="AG8">_xlfn.XLOOKUP($A8,DataColumnRange,_xlfn.XLOOKUP(AG$1,dataRowRange,ActualDataRange))</f>
        <v>Test2</v>
      </c>
      <c r="AH8" s="31" t="str" cm="1">
        <f t="array" ref="AH8">_xlfn.XLOOKUP($A8,DataColumnRange,_xlfn.XLOOKUP(AH$1,dataRowRange,ActualDataRange))</f>
        <v>Atlanta</v>
      </c>
      <c r="AI8" s="31" t="str" cm="1">
        <f t="array" ref="AI8">_xlfn.XLOOKUP($A8,DataColumnRange,_xlfn.XLOOKUP(AI$1,dataRowRange,ActualDataRange))</f>
        <v>Georgia</v>
      </c>
      <c r="AJ8" s="31" cm="1">
        <f t="array" ref="AJ8">_xlfn.XLOOKUP($A8,DataColumnRange,_xlfn.XLOOKUP(AJ$1,dataRowRange,ActualDataRange))</f>
        <v>55055</v>
      </c>
      <c r="AK8" s="31" t="str" cm="1">
        <f t="array" ref="AK8">_xlfn.XLOOKUP($A8,DataColumnRange,_xlfn.XLOOKUP(AK$1,dataRowRange,ActualDataRange))</f>
        <v>171276181</v>
      </c>
      <c r="AL8" s="31" t="str" cm="1">
        <f t="array" ref="AL8">_xlfn.XLOOKUP($A8,DataColumnRange,_xlfn.XLOOKUP(AL$1,dataRowRange,ActualDataRange))</f>
        <v>International</v>
      </c>
      <c r="AM8" s="31" cm="1">
        <f t="array" ref="AM8">_xlfn.XLOOKUP($A8,DataColumnRange,_xlfn.XLOOKUP(AM$1,dataRowRange,ActualDataRange))</f>
        <v>0</v>
      </c>
    </row>
    <row r="9" spans="1:39" ht="17" thickBot="1">
      <c r="A9" s="65" t="s">
        <v>281</v>
      </c>
      <c r="B9" s="43" t="s">
        <v>45</v>
      </c>
      <c r="C9" s="32" t="s">
        <v>63</v>
      </c>
      <c r="D9" s="40" t="str">
        <f>IF(TestCaseConfig!$B$2="Yes","Yes","No")</f>
        <v>Yes</v>
      </c>
      <c r="E9" s="31" t="str" cm="1">
        <f t="array" ref="E9">_xlfn.XLOOKUP($A9,DataColumnRange,_xlfn.XLOOKUP(E$1,dataRowRange,ActualDataRange))</f>
        <v>PHARMA</v>
      </c>
      <c r="F9" s="31" t="str" cm="1">
        <f t="array" ref="F9">_xlfn.XLOOKUP($A9,DataColumnRange,_xlfn.XLOOKUP(F$1,dataRowRange,ActualDataRange))</f>
        <v>sumit.choudhary@delta.com</v>
      </c>
      <c r="G9" s="31" t="str" cm="1">
        <f t="array" ref="G9">_xlfn.XLOOKUP($A9,DataColumnRange,_xlfn.XLOOKUP(G$1,dataRowRange,ActualDataRange))</f>
        <v>Delta2</v>
      </c>
      <c r="H9" s="31" t="b" cm="1">
        <f t="array" ref="H9">_xlfn.XLOOKUP($A9,DataColumnRange,_xlfn.XLOOKUP(H$1,dataRowRange,ActualDataRange))</f>
        <v>1</v>
      </c>
      <c r="I9" s="31" t="str" cm="1">
        <f t="array" ref="I9">_xlfn.XLOOKUP($A9,DataColumnRange,_xlfn.XLOOKUP(I$1,dataRowRange,ActualDataRange))</f>
        <v>NA</v>
      </c>
      <c r="J9" s="31" t="str" cm="1">
        <f t="array" ref="J9">_xlfn.XLOOKUP($A9,DataColumnRange,_xlfn.XLOOKUP(J$1,dataRowRange,ActualDataRange))</f>
        <v>ATL</v>
      </c>
      <c r="K9" s="31" t="str" cm="1">
        <f t="array" ref="K9">_xlfn.XLOOKUP($A9,DataColumnRange,_xlfn.XLOOKUP(K$1,dataRowRange,ActualDataRange))</f>
        <v>LHR</v>
      </c>
      <c r="L9" s="31" t="str" cm="1">
        <f t="array" ref="L9">_xlfn.XLOOKUP($A9,DataColumnRange,_xlfn.XLOOKUP(L$1,dataRowRange,ActualDataRange))</f>
        <v>Pharma 2 - Temperature controlled between +2°C to +8°C</v>
      </c>
      <c r="M9" s="31" t="str" cm="1">
        <f t="array" ref="M9">_xlfn.XLOOKUP($A9,DataColumnRange,_xlfn.XLOOKUP(M$1,dataRowRange,ActualDataRange))</f>
        <v>Test Pharma</v>
      </c>
      <c r="N9" s="31" cm="1">
        <f t="array" ref="N9">_xlfn.XLOOKUP($A9,DataColumnRange,_xlfn.XLOOKUP(N$1,dataRowRange,ActualDataRange))</f>
        <v>12</v>
      </c>
      <c r="O9" s="31" t="str" cm="1">
        <f t="array" ref="O9">_xlfn.XLOOKUP($A9,DataColumnRange,_xlfn.XLOOKUP(O$1,dataRowRange,ActualDataRange))</f>
        <v>LB</v>
      </c>
      <c r="P9" s="31" cm="1">
        <f t="array" ref="P9">_xlfn.XLOOKUP($A9,DataColumnRange,_xlfn.XLOOKUP(P$1,dataRowRange,ActualDataRange))</f>
        <v>1</v>
      </c>
      <c r="Q9" s="31" cm="1">
        <f t="array" ref="Q9">_xlfn.XLOOKUP($A9,DataColumnRange,_xlfn.XLOOKUP(Q$1,dataRowRange,ActualDataRange))</f>
        <v>10</v>
      </c>
      <c r="R9" s="31" cm="1">
        <f t="array" ref="R9">_xlfn.XLOOKUP($A9,DataColumnRange,_xlfn.XLOOKUP(R$1,dataRowRange,ActualDataRange))</f>
        <v>10</v>
      </c>
      <c r="S9" s="31" cm="1">
        <f t="array" ref="S9">_xlfn.XLOOKUP($A9,DataColumnRange,_xlfn.XLOOKUP(S$1,dataRowRange,ActualDataRange))</f>
        <v>10</v>
      </c>
      <c r="T9" s="31" t="str" cm="1">
        <f t="array" ref="T9">_xlfn.XLOOKUP($A9,DataColumnRange,_xlfn.XLOOKUP(T$1,dataRowRange,ActualDataRange))</f>
        <v>IN</v>
      </c>
      <c r="U9" s="31" t="str" cm="1">
        <f t="array" ref="U9">_xlfn.XLOOKUP($A9,DataColumnRange,_xlfn.XLOOKUP(U$1,dataRowRange,ActualDataRange))</f>
        <v>NA</v>
      </c>
      <c r="V9" s="31" t="str" cm="1">
        <f t="array" ref="V9">_xlfn.XLOOKUP($A9,DataColumnRange,_xlfn.XLOOKUP(V$1,dataRowRange,ActualDataRange))</f>
        <v>No</v>
      </c>
      <c r="W9" s="31" t="str" cm="1">
        <f t="array" ref="W9">_xlfn.XLOOKUP($A9,DataColumnRange,_xlfn.XLOOKUP(W$1,dataRowRange,ActualDataRange))</f>
        <v>No</v>
      </c>
      <c r="X9" s="31" t="str" cm="1">
        <f t="array" ref="X9">_xlfn.XLOOKUP($A9,DataColumnRange,_xlfn.XLOOKUP(X$1,dataRowRange,ActualDataRange))</f>
        <v>No</v>
      </c>
      <c r="Y9" s="31" cm="1">
        <f t="array" ref="Y9">_xlfn.XLOOKUP($A9,DataColumnRange,_xlfn.XLOOKUP(Y$1,dataRowRange,ActualDataRange))</f>
        <v>4</v>
      </c>
      <c r="Z9" s="31" t="str" cm="1">
        <f t="array" ref="Z9">_xlfn.XLOOKUP($A9,DataColumnRange,_xlfn.XLOOKUP(Z$1,dataRowRange,ActualDataRange))</f>
        <v>No</v>
      </c>
      <c r="AA9" s="31" t="str" cm="1">
        <f t="array" ref="AA9">_xlfn.XLOOKUP($A9,DataColumnRange,_xlfn.XLOOKUP(AA$1,dataRowRange,ActualDataRange))</f>
        <v>NA</v>
      </c>
      <c r="AB9" s="31" t="str" cm="1">
        <f t="array" ref="AB9">_xlfn.XLOOKUP($A9,DataColumnRange,_xlfn.XLOOKUP(AB$1,dataRowRange,ActualDataRange))</f>
        <v>000260018</v>
      </c>
      <c r="AC9" s="31" t="str" cm="1">
        <f t="array" ref="AC9">_xlfn.XLOOKUP($A9,DataColumnRange,_xlfn.XLOOKUP(AC$1,dataRowRange,ActualDataRange))</f>
        <v>GeneralCargoTemplate</v>
      </c>
      <c r="AD9" s="31" t="str" cm="1">
        <f t="array" ref="AD9">_xlfn.XLOOKUP($A9,DataColumnRange,_xlfn.XLOOKUP(AD$1,dataRowRange,ActualDataRange))</f>
        <v>CreditCard</v>
      </c>
      <c r="AE9" s="31" t="str" cm="1">
        <f t="array" ref="AE9">_xlfn.XLOOKUP($A9,DataColumnRange,_xlfn.XLOOKUP(AE$1,dataRowRange,ActualDataRange))</f>
        <v>NA</v>
      </c>
      <c r="AF9" s="31" t="str" cm="1">
        <f t="array" ref="AF9">_xlfn.XLOOKUP($A9,DataColumnRange,_xlfn.XLOOKUP(AF$1,dataRowRange,ActualDataRange))</f>
        <v>Test1</v>
      </c>
      <c r="AG9" s="31" t="str" cm="1">
        <f t="array" ref="AG9">_xlfn.XLOOKUP($A9,DataColumnRange,_xlfn.XLOOKUP(AG$1,dataRowRange,ActualDataRange))</f>
        <v>Test2</v>
      </c>
      <c r="AH9" s="31" t="str" cm="1">
        <f t="array" ref="AH9">_xlfn.XLOOKUP($A9,DataColumnRange,_xlfn.XLOOKUP(AH$1,dataRowRange,ActualDataRange))</f>
        <v>Atlanta</v>
      </c>
      <c r="AI9" s="31" t="str" cm="1">
        <f t="array" ref="AI9">_xlfn.XLOOKUP($A9,DataColumnRange,_xlfn.XLOOKUP(AI$1,dataRowRange,ActualDataRange))</f>
        <v>Georgia</v>
      </c>
      <c r="AJ9" s="31" cm="1">
        <f t="array" ref="AJ9">_xlfn.XLOOKUP($A9,DataColumnRange,_xlfn.XLOOKUP(AJ$1,dataRowRange,ActualDataRange))</f>
        <v>55055</v>
      </c>
      <c r="AK9" s="31" t="str" cm="1">
        <f t="array" ref="AK9">_xlfn.XLOOKUP($A9,DataColumnRange,_xlfn.XLOOKUP(AK$1,dataRowRange,ActualDataRange))</f>
        <v>171276181</v>
      </c>
      <c r="AL9" s="31" t="str" cm="1">
        <f t="array" ref="AL9">_xlfn.XLOOKUP($A9,DataColumnRange,_xlfn.XLOOKUP(AL$1,dataRowRange,ActualDataRange))</f>
        <v>International</v>
      </c>
      <c r="AM9" s="31" cm="1">
        <f t="array" ref="AM9">_xlfn.XLOOKUP($A9,DataColumnRange,_xlfn.XLOOKUP(AM$1,dataRowRange,ActualDataRange))</f>
        <v>0</v>
      </c>
    </row>
    <row r="10" spans="1:39" ht="17" thickBot="1">
      <c r="A10" s="65" t="s">
        <v>282</v>
      </c>
      <c r="B10" s="43" t="s">
        <v>45</v>
      </c>
      <c r="C10" s="32" t="s">
        <v>193</v>
      </c>
      <c r="D10" s="40" t="str">
        <f>IF(TestCaseConfig!$B$2="Yes","Yes","No")</f>
        <v>Yes</v>
      </c>
      <c r="E10" s="31" t="str" cm="1">
        <f t="array" ref="E10">_xlfn.XLOOKUP($A10,DataColumnRange,_xlfn.XLOOKUP(E$1,dataRowRange,ActualDataRange))</f>
        <v>PHARMA</v>
      </c>
      <c r="F10" s="31" t="str" cm="1">
        <f t="array" ref="F10">_xlfn.XLOOKUP($A10,DataColumnRange,_xlfn.XLOOKUP(F$1,dataRowRange,ActualDataRange))</f>
        <v>sumit.choudhary@delta.com</v>
      </c>
      <c r="G10" s="31" t="str" cm="1">
        <f t="array" ref="G10">_xlfn.XLOOKUP($A10,DataColumnRange,_xlfn.XLOOKUP(G$1,dataRowRange,ActualDataRange))</f>
        <v>Delta2</v>
      </c>
      <c r="H10" s="31" t="b" cm="1">
        <f t="array" ref="H10">_xlfn.XLOOKUP($A10,DataColumnRange,_xlfn.XLOOKUP(H$1,dataRowRange,ActualDataRange))</f>
        <v>1</v>
      </c>
      <c r="I10" s="31" t="str" cm="1">
        <f t="array" ref="I10">_xlfn.XLOOKUP($A10,DataColumnRange,_xlfn.XLOOKUP(I$1,dataRowRange,ActualDataRange))</f>
        <v>NA</v>
      </c>
      <c r="J10" s="31" t="str" cm="1">
        <f t="array" ref="J10">_xlfn.XLOOKUP($A10,DataColumnRange,_xlfn.XLOOKUP(J$1,dataRowRange,ActualDataRange))</f>
        <v>ATL</v>
      </c>
      <c r="K10" s="31" t="str" cm="1">
        <f t="array" ref="K10">_xlfn.XLOOKUP($A10,DataColumnRange,_xlfn.XLOOKUP(K$1,dataRowRange,ActualDataRange))</f>
        <v>LHR</v>
      </c>
      <c r="L10" s="31" t="str" cm="1">
        <f t="array" ref="L10">_xlfn.XLOOKUP($A10,DataColumnRange,_xlfn.XLOOKUP(L$1,dataRowRange,ActualDataRange))</f>
        <v>Pharma 3 - Temperature controlled between +2°C to +25°C</v>
      </c>
      <c r="M10" s="31" t="str" cm="1">
        <f t="array" ref="M10">_xlfn.XLOOKUP($A10,DataColumnRange,_xlfn.XLOOKUP(M$1,dataRowRange,ActualDataRange))</f>
        <v>Test Pharma</v>
      </c>
      <c r="N10" s="31" cm="1">
        <f t="array" ref="N10">_xlfn.XLOOKUP($A10,DataColumnRange,_xlfn.XLOOKUP(N$1,dataRowRange,ActualDataRange))</f>
        <v>13</v>
      </c>
      <c r="O10" s="31" t="str" cm="1">
        <f t="array" ref="O10">_xlfn.XLOOKUP($A10,DataColumnRange,_xlfn.XLOOKUP(O$1,dataRowRange,ActualDataRange))</f>
        <v>KG</v>
      </c>
      <c r="P10" s="31" cm="1">
        <f t="array" ref="P10">_xlfn.XLOOKUP($A10,DataColumnRange,_xlfn.XLOOKUP(P$1,dataRowRange,ActualDataRange))</f>
        <v>1</v>
      </c>
      <c r="Q10" s="31" cm="1">
        <f t="array" ref="Q10">_xlfn.XLOOKUP($A10,DataColumnRange,_xlfn.XLOOKUP(Q$1,dataRowRange,ActualDataRange))</f>
        <v>10</v>
      </c>
      <c r="R10" s="31" cm="1">
        <f t="array" ref="R10">_xlfn.XLOOKUP($A10,DataColumnRange,_xlfn.XLOOKUP(R$1,dataRowRange,ActualDataRange))</f>
        <v>10</v>
      </c>
      <c r="S10" s="31" cm="1">
        <f t="array" ref="S10">_xlfn.XLOOKUP($A10,DataColumnRange,_xlfn.XLOOKUP(S$1,dataRowRange,ActualDataRange))</f>
        <v>10</v>
      </c>
      <c r="T10" s="31" t="str" cm="1">
        <f t="array" ref="T10">_xlfn.XLOOKUP($A10,DataColumnRange,_xlfn.XLOOKUP(T$1,dataRowRange,ActualDataRange))</f>
        <v>CM</v>
      </c>
      <c r="U10" s="31" t="str" cm="1">
        <f t="array" ref="U10">_xlfn.XLOOKUP($A10,DataColumnRange,_xlfn.XLOOKUP(U$1,dataRowRange,ActualDataRange))</f>
        <v>NA</v>
      </c>
      <c r="V10" s="31" t="str" cm="1">
        <f t="array" ref="V10">_xlfn.XLOOKUP($A10,DataColumnRange,_xlfn.XLOOKUP(V$1,dataRowRange,ActualDataRange))</f>
        <v>No</v>
      </c>
      <c r="W10" s="31" t="str" cm="1">
        <f t="array" ref="W10">_xlfn.XLOOKUP($A10,DataColumnRange,_xlfn.XLOOKUP(W$1,dataRowRange,ActualDataRange))</f>
        <v>No</v>
      </c>
      <c r="X10" s="31" t="str" cm="1">
        <f t="array" ref="X10">_xlfn.XLOOKUP($A10,DataColumnRange,_xlfn.XLOOKUP(X$1,dataRowRange,ActualDataRange))</f>
        <v>No</v>
      </c>
      <c r="Y10" s="31" cm="1">
        <f t="array" ref="Y10">_xlfn.XLOOKUP($A10,DataColumnRange,_xlfn.XLOOKUP(Y$1,dataRowRange,ActualDataRange))</f>
        <v>5</v>
      </c>
      <c r="Z10" s="31" t="str" cm="1">
        <f t="array" ref="Z10">_xlfn.XLOOKUP($A10,DataColumnRange,_xlfn.XLOOKUP(Z$1,dataRowRange,ActualDataRange))</f>
        <v>No</v>
      </c>
      <c r="AA10" s="31" t="str" cm="1">
        <f t="array" ref="AA10">_xlfn.XLOOKUP($A10,DataColumnRange,_xlfn.XLOOKUP(AA$1,dataRowRange,ActualDataRange))</f>
        <v>NA</v>
      </c>
      <c r="AB10" s="31" t="str" cm="1">
        <f t="array" ref="AB10">_xlfn.XLOOKUP($A10,DataColumnRange,_xlfn.XLOOKUP(AB$1,dataRowRange,ActualDataRange))</f>
        <v>000260018</v>
      </c>
      <c r="AC10" s="31" t="str" cm="1">
        <f t="array" ref="AC10">_xlfn.XLOOKUP($A10,DataColumnRange,_xlfn.XLOOKUP(AC$1,dataRowRange,ActualDataRange))</f>
        <v>GeneralCargoTemplate</v>
      </c>
      <c r="AD10" s="31" t="str" cm="1">
        <f t="array" ref="AD10">_xlfn.XLOOKUP($A10,DataColumnRange,_xlfn.XLOOKUP(AD$1,dataRowRange,ActualDataRange))</f>
        <v>CreditCard</v>
      </c>
      <c r="AE10" s="31" t="str" cm="1">
        <f t="array" ref="AE10">_xlfn.XLOOKUP($A10,DataColumnRange,_xlfn.XLOOKUP(AE$1,dataRowRange,ActualDataRange))</f>
        <v>NA</v>
      </c>
      <c r="AF10" s="31" t="str" cm="1">
        <f t="array" ref="AF10">_xlfn.XLOOKUP($A10,DataColumnRange,_xlfn.XLOOKUP(AF$1,dataRowRange,ActualDataRange))</f>
        <v>Test1</v>
      </c>
      <c r="AG10" s="31" t="str" cm="1">
        <f t="array" ref="AG10">_xlfn.XLOOKUP($A10,DataColumnRange,_xlfn.XLOOKUP(AG$1,dataRowRange,ActualDataRange))</f>
        <v>Test2</v>
      </c>
      <c r="AH10" s="31" t="str" cm="1">
        <f t="array" ref="AH10">_xlfn.XLOOKUP($A10,DataColumnRange,_xlfn.XLOOKUP(AH$1,dataRowRange,ActualDataRange))</f>
        <v>Atlanta</v>
      </c>
      <c r="AI10" s="31" t="str" cm="1">
        <f t="array" ref="AI10">_xlfn.XLOOKUP($A10,DataColumnRange,_xlfn.XLOOKUP(AI$1,dataRowRange,ActualDataRange))</f>
        <v>Georgia</v>
      </c>
      <c r="AJ10" s="31" cm="1">
        <f t="array" ref="AJ10">_xlfn.XLOOKUP($A10,DataColumnRange,_xlfn.XLOOKUP(AJ$1,dataRowRange,ActualDataRange))</f>
        <v>55055</v>
      </c>
      <c r="AK10" s="31" t="str" cm="1">
        <f t="array" ref="AK10">_xlfn.XLOOKUP($A10,DataColumnRange,_xlfn.XLOOKUP(AK$1,dataRowRange,ActualDataRange))</f>
        <v>171276181</v>
      </c>
      <c r="AL10" s="31" t="str" cm="1">
        <f t="array" ref="AL10">_xlfn.XLOOKUP($A10,DataColumnRange,_xlfn.XLOOKUP(AL$1,dataRowRange,ActualDataRange))</f>
        <v>International</v>
      </c>
      <c r="AM10" s="31" cm="1">
        <f t="array" ref="AM10">_xlfn.XLOOKUP($A10,DataColumnRange,_xlfn.XLOOKUP(AM$1,dataRowRange,ActualDataRange))</f>
        <v>0</v>
      </c>
    </row>
    <row r="11" spans="1:39" ht="17" thickBot="1">
      <c r="A11" s="65" t="s">
        <v>283</v>
      </c>
      <c r="B11" s="43" t="s">
        <v>45</v>
      </c>
      <c r="C11" s="32" t="s">
        <v>194</v>
      </c>
      <c r="D11" s="40" t="str">
        <f>IF(TestCaseConfig!$B$2="Yes","Yes","No")</f>
        <v>Yes</v>
      </c>
      <c r="E11" s="31" t="str" cm="1">
        <f t="array" ref="E11">_xlfn.XLOOKUP($A11,DataColumnRange,_xlfn.XLOOKUP(E$1,dataRowRange,ActualDataRange))</f>
        <v>PHARMA</v>
      </c>
      <c r="F11" s="31" t="str" cm="1">
        <f t="array" ref="F11">_xlfn.XLOOKUP($A11,DataColumnRange,_xlfn.XLOOKUP(F$1,dataRowRange,ActualDataRange))</f>
        <v>sumit.choudhary@delta.com</v>
      </c>
      <c r="G11" s="31" t="str" cm="1">
        <f t="array" ref="G11">_xlfn.XLOOKUP($A11,DataColumnRange,_xlfn.XLOOKUP(G$1,dataRowRange,ActualDataRange))</f>
        <v>Delta2</v>
      </c>
      <c r="H11" s="31" t="b" cm="1">
        <f t="array" ref="H11">_xlfn.XLOOKUP($A11,DataColumnRange,_xlfn.XLOOKUP(H$1,dataRowRange,ActualDataRange))</f>
        <v>1</v>
      </c>
      <c r="I11" s="31" t="str" cm="1">
        <f t="array" ref="I11">_xlfn.XLOOKUP($A11,DataColumnRange,_xlfn.XLOOKUP(I$1,dataRowRange,ActualDataRange))</f>
        <v>NA</v>
      </c>
      <c r="J11" s="31" t="str" cm="1">
        <f t="array" ref="J11">_xlfn.XLOOKUP($A11,DataColumnRange,_xlfn.XLOOKUP(J$1,dataRowRange,ActualDataRange))</f>
        <v>ATL</v>
      </c>
      <c r="K11" s="31" t="str" cm="1">
        <f t="array" ref="K11">_xlfn.XLOOKUP($A11,DataColumnRange,_xlfn.XLOOKUP(K$1,dataRowRange,ActualDataRange))</f>
        <v>LHR</v>
      </c>
      <c r="L11" s="31" t="str" cm="1">
        <f t="array" ref="L11">_xlfn.XLOOKUP($A11,DataColumnRange,_xlfn.XLOOKUP(L$1,dataRowRange,ActualDataRange))</f>
        <v>Pharma 4 - Temperature controlled between +15°C to +25°C</v>
      </c>
      <c r="M11" s="31" t="str" cm="1">
        <f t="array" ref="M11">_xlfn.XLOOKUP($A11,DataColumnRange,_xlfn.XLOOKUP(M$1,dataRowRange,ActualDataRange))</f>
        <v>Test Pharma</v>
      </c>
      <c r="N11" s="31" cm="1">
        <f t="array" ref="N11">_xlfn.XLOOKUP($A11,DataColumnRange,_xlfn.XLOOKUP(N$1,dataRowRange,ActualDataRange))</f>
        <v>14</v>
      </c>
      <c r="O11" s="31" t="str" cm="1">
        <f t="array" ref="O11">_xlfn.XLOOKUP($A11,DataColumnRange,_xlfn.XLOOKUP(O$1,dataRowRange,ActualDataRange))</f>
        <v>LB</v>
      </c>
      <c r="P11" s="31" cm="1">
        <f t="array" ref="P11">_xlfn.XLOOKUP($A11,DataColumnRange,_xlfn.XLOOKUP(P$1,dataRowRange,ActualDataRange))</f>
        <v>1</v>
      </c>
      <c r="Q11" s="31" cm="1">
        <f t="array" ref="Q11">_xlfn.XLOOKUP($A11,DataColumnRange,_xlfn.XLOOKUP(Q$1,dataRowRange,ActualDataRange))</f>
        <v>10</v>
      </c>
      <c r="R11" s="31" cm="1">
        <f t="array" ref="R11">_xlfn.XLOOKUP($A11,DataColumnRange,_xlfn.XLOOKUP(R$1,dataRowRange,ActualDataRange))</f>
        <v>10</v>
      </c>
      <c r="S11" s="31" cm="1">
        <f t="array" ref="S11">_xlfn.XLOOKUP($A11,DataColumnRange,_xlfn.XLOOKUP(S$1,dataRowRange,ActualDataRange))</f>
        <v>10</v>
      </c>
      <c r="T11" s="31" t="str" cm="1">
        <f t="array" ref="T11">_xlfn.XLOOKUP($A11,DataColumnRange,_xlfn.XLOOKUP(T$1,dataRowRange,ActualDataRange))</f>
        <v>IN</v>
      </c>
      <c r="U11" s="31" t="str" cm="1">
        <f t="array" ref="U11">_xlfn.XLOOKUP($A11,DataColumnRange,_xlfn.XLOOKUP(U$1,dataRowRange,ActualDataRange))</f>
        <v>NA</v>
      </c>
      <c r="V11" s="31" t="str" cm="1">
        <f t="array" ref="V11">_xlfn.XLOOKUP($A11,DataColumnRange,_xlfn.XLOOKUP(V$1,dataRowRange,ActualDataRange))</f>
        <v>No</v>
      </c>
      <c r="W11" s="31" t="str" cm="1">
        <f t="array" ref="W11">_xlfn.XLOOKUP($A11,DataColumnRange,_xlfn.XLOOKUP(W$1,dataRowRange,ActualDataRange))</f>
        <v>No</v>
      </c>
      <c r="X11" s="31" t="str" cm="1">
        <f t="array" ref="X11">_xlfn.XLOOKUP($A11,DataColumnRange,_xlfn.XLOOKUP(X$1,dataRowRange,ActualDataRange))</f>
        <v>No</v>
      </c>
      <c r="Y11" s="31" cm="1">
        <f t="array" ref="Y11">_xlfn.XLOOKUP($A11,DataColumnRange,_xlfn.XLOOKUP(Y$1,dataRowRange,ActualDataRange))</f>
        <v>6</v>
      </c>
      <c r="Z11" s="31" t="str" cm="1">
        <f t="array" ref="Z11">_xlfn.XLOOKUP($A11,DataColumnRange,_xlfn.XLOOKUP(Z$1,dataRowRange,ActualDataRange))</f>
        <v>No</v>
      </c>
      <c r="AA11" s="31" t="str" cm="1">
        <f t="array" ref="AA11">_xlfn.XLOOKUP($A11,DataColumnRange,_xlfn.XLOOKUP(AA$1,dataRowRange,ActualDataRange))</f>
        <v>NA</v>
      </c>
      <c r="AB11" s="31" t="str" cm="1">
        <f t="array" ref="AB11">_xlfn.XLOOKUP($A11,DataColumnRange,_xlfn.XLOOKUP(AB$1,dataRowRange,ActualDataRange))</f>
        <v>000260018</v>
      </c>
      <c r="AC11" s="31" t="str" cm="1">
        <f t="array" ref="AC11">_xlfn.XLOOKUP($A11,DataColumnRange,_xlfn.XLOOKUP(AC$1,dataRowRange,ActualDataRange))</f>
        <v>GeneralCargoTemplate</v>
      </c>
      <c r="AD11" s="31" t="str" cm="1">
        <f t="array" ref="AD11">_xlfn.XLOOKUP($A11,DataColumnRange,_xlfn.XLOOKUP(AD$1,dataRowRange,ActualDataRange))</f>
        <v>CreditCard</v>
      </c>
      <c r="AE11" s="31" t="str" cm="1">
        <f t="array" ref="AE11">_xlfn.XLOOKUP($A11,DataColumnRange,_xlfn.XLOOKUP(AE$1,dataRowRange,ActualDataRange))</f>
        <v>NA</v>
      </c>
      <c r="AF11" s="31" t="str" cm="1">
        <f t="array" ref="AF11">_xlfn.XLOOKUP($A11,DataColumnRange,_xlfn.XLOOKUP(AF$1,dataRowRange,ActualDataRange))</f>
        <v>Test1</v>
      </c>
      <c r="AG11" s="31" t="str" cm="1">
        <f t="array" ref="AG11">_xlfn.XLOOKUP($A11,DataColumnRange,_xlfn.XLOOKUP(AG$1,dataRowRange,ActualDataRange))</f>
        <v>Test2</v>
      </c>
      <c r="AH11" s="31" t="str" cm="1">
        <f t="array" ref="AH11">_xlfn.XLOOKUP($A11,DataColumnRange,_xlfn.XLOOKUP(AH$1,dataRowRange,ActualDataRange))</f>
        <v>Atlanta</v>
      </c>
      <c r="AI11" s="31" t="str" cm="1">
        <f t="array" ref="AI11">_xlfn.XLOOKUP($A11,DataColumnRange,_xlfn.XLOOKUP(AI$1,dataRowRange,ActualDataRange))</f>
        <v>Georgia</v>
      </c>
      <c r="AJ11" s="31" cm="1">
        <f t="array" ref="AJ11">_xlfn.XLOOKUP($A11,DataColumnRange,_xlfn.XLOOKUP(AJ$1,dataRowRange,ActualDataRange))</f>
        <v>55055</v>
      </c>
      <c r="AK11" s="31" t="str" cm="1">
        <f t="array" ref="AK11">_xlfn.XLOOKUP($A11,DataColumnRange,_xlfn.XLOOKUP(AK$1,dataRowRange,ActualDataRange))</f>
        <v>000075010</v>
      </c>
      <c r="AL11" s="31" t="str" cm="1">
        <f t="array" ref="AL11">_xlfn.XLOOKUP($A11,DataColumnRange,_xlfn.XLOOKUP(AL$1,dataRowRange,ActualDataRange))</f>
        <v>International</v>
      </c>
      <c r="AM11" s="31" cm="1">
        <f t="array" ref="AM11">_xlfn.XLOOKUP($A11,DataColumnRange,_xlfn.XLOOKUP(AM$1,dataRowRange,ActualDataRange))</f>
        <v>0</v>
      </c>
    </row>
  </sheetData>
  <hyperlinks>
    <hyperlink ref="A1" location="TestCaseConfig!A1" display="Testcase" xr:uid="{0FFF2706-58EF-374C-9F4A-00CFE5A8CD14}"/>
  </hyperlinks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0E3A-6E10-F44C-A8EB-A92A916ABD32}">
  <dimension ref="A1:AL13"/>
  <sheetViews>
    <sheetView workbookViewId="0">
      <selection activeCell="E1" sqref="E1"/>
    </sheetView>
  </sheetViews>
  <sheetFormatPr defaultColWidth="11" defaultRowHeight="15.5"/>
  <cols>
    <col min="1" max="1" width="128.5" bestFit="1" customWidth="1"/>
    <col min="2" max="2" width="15.58203125" bestFit="1" customWidth="1"/>
    <col min="3" max="3" width="55.5" bestFit="1" customWidth="1"/>
    <col min="5" max="5" width="23.83203125" bestFit="1" customWidth="1"/>
  </cols>
  <sheetData>
    <row r="1" spans="1:38" s="11" customFormat="1" ht="16" thickBot="1">
      <c r="A1" s="19" t="s">
        <v>118</v>
      </c>
      <c r="B1" s="20" t="s">
        <v>2</v>
      </c>
      <c r="C1" s="20" t="s">
        <v>24</v>
      </c>
      <c r="D1" s="20" t="s">
        <v>110</v>
      </c>
      <c r="E1" s="20" t="s">
        <v>122</v>
      </c>
      <c r="F1" s="20" t="s">
        <v>123</v>
      </c>
      <c r="G1" s="21" t="s">
        <v>101</v>
      </c>
      <c r="H1" s="20" t="s">
        <v>32</v>
      </c>
      <c r="I1" s="20" t="s">
        <v>140</v>
      </c>
      <c r="J1" s="20" t="s">
        <v>141</v>
      </c>
      <c r="K1" s="20" t="s">
        <v>211</v>
      </c>
      <c r="L1" s="27" t="s">
        <v>196</v>
      </c>
      <c r="M1" s="25" t="s">
        <v>146</v>
      </c>
      <c r="N1" s="20" t="s">
        <v>144</v>
      </c>
      <c r="O1" s="27" t="s">
        <v>150</v>
      </c>
      <c r="P1" s="20" t="s">
        <v>147</v>
      </c>
      <c r="Q1" s="20" t="s">
        <v>148</v>
      </c>
      <c r="R1" s="26" t="s">
        <v>149</v>
      </c>
      <c r="S1" s="20" t="s">
        <v>151</v>
      </c>
      <c r="T1" s="20" t="s">
        <v>5</v>
      </c>
      <c r="U1" s="20" t="s">
        <v>6</v>
      </c>
      <c r="V1" s="20" t="s">
        <v>7</v>
      </c>
      <c r="W1" s="20" t="s">
        <v>8</v>
      </c>
      <c r="X1" s="20" t="s">
        <v>10</v>
      </c>
      <c r="Y1" s="20" t="s">
        <v>56</v>
      </c>
      <c r="Z1" s="20" t="s">
        <v>59</v>
      </c>
      <c r="AA1" s="20" t="s">
        <v>11</v>
      </c>
      <c r="AB1" s="20" t="s">
        <v>12</v>
      </c>
      <c r="AC1" s="20" t="s">
        <v>13</v>
      </c>
      <c r="AD1" s="20" t="s">
        <v>40</v>
      </c>
      <c r="AE1" s="20" t="s">
        <v>153</v>
      </c>
      <c r="AF1" s="20" t="s">
        <v>154</v>
      </c>
      <c r="AG1" s="20" t="s">
        <v>155</v>
      </c>
      <c r="AH1" s="20" t="s">
        <v>156</v>
      </c>
      <c r="AI1" s="25" t="s">
        <v>157</v>
      </c>
      <c r="AJ1" s="20" t="s">
        <v>102</v>
      </c>
      <c r="AK1" s="20" t="s">
        <v>207</v>
      </c>
      <c r="AL1" s="20" t="s">
        <v>73</v>
      </c>
    </row>
    <row r="2" spans="1:38" ht="17" thickBot="1">
      <c r="A2" s="66" t="s">
        <v>284</v>
      </c>
      <c r="B2" s="42" t="s">
        <v>44</v>
      </c>
      <c r="C2" s="32" t="s">
        <v>177</v>
      </c>
      <c r="D2" s="40" t="str">
        <f>IF(TestCaseConfig!$B$2="Yes","Yes","No")</f>
        <v>Yes</v>
      </c>
      <c r="E2" s="31" t="str" cm="1">
        <f t="array" ref="E2">_xlfn.XLOOKUP($A2,DataColumnRange,_xlfn.XLOOKUP(E$1,dataRowRange,ActualDataRange))</f>
        <v>sumit.choudhary@delta.com</v>
      </c>
      <c r="F2" s="31" t="str" cm="1">
        <f t="array" ref="F2">_xlfn.XLOOKUP($A2,DataColumnRange,_xlfn.XLOOKUP(F$1,dataRowRange,ActualDataRange))</f>
        <v>Delta2</v>
      </c>
      <c r="G2" s="31" t="b" cm="1">
        <f t="array" ref="G2">_xlfn.XLOOKUP($A2,DataColumnRange,_xlfn.XLOOKUP(G$1,dataRowRange,ActualDataRange))</f>
        <v>1</v>
      </c>
      <c r="H2" s="31" t="str" cm="1">
        <f t="array" ref="H2">_xlfn.XLOOKUP($A2,DataColumnRange,_xlfn.XLOOKUP(H$1,dataRowRange,ActualDataRange))</f>
        <v>NA</v>
      </c>
      <c r="I2" s="31" t="str" cm="1">
        <f t="array" ref="I2">_xlfn.XLOOKUP($A2,DataColumnRange,_xlfn.XLOOKUP(I$1,dataRowRange,ActualDataRange))</f>
        <v>ATL</v>
      </c>
      <c r="J2" s="31" t="str" cm="1">
        <f t="array" ref="J2">_xlfn.XLOOKUP($A2,DataColumnRange,_xlfn.XLOOKUP(J$1,dataRowRange,ActualDataRange))</f>
        <v>MSP</v>
      </c>
      <c r="K2" s="31" t="str" cm="1">
        <f t="array" ref="K2">_xlfn.XLOOKUP($A2,DataColumnRange,_xlfn.XLOOKUP(K$1,dataRowRange,ActualDataRange))</f>
        <v>Medical shipment – Medevac</v>
      </c>
      <c r="L2" s="31" t="str" cm="1">
        <f t="array" ref="L2">_xlfn.XLOOKUP($A2,DataColumnRange,_xlfn.XLOOKUP(L$1,dataRowRange,ActualDataRange))</f>
        <v>Test Medical</v>
      </c>
      <c r="M2" s="31" cm="1">
        <f t="array" ref="M2">_xlfn.XLOOKUP($A2,DataColumnRange,_xlfn.XLOOKUP(M$1,dataRowRange,ActualDataRange))</f>
        <v>30</v>
      </c>
      <c r="N2" s="31" t="str" cm="1">
        <f t="array" ref="N2">_xlfn.XLOOKUP($A2,DataColumnRange,_xlfn.XLOOKUP(N$1,dataRowRange,ActualDataRange))</f>
        <v>KG</v>
      </c>
      <c r="O2" s="31" cm="1">
        <f t="array" ref="O2">_xlfn.XLOOKUP($A2,DataColumnRange,_xlfn.XLOOKUP(O$1,dataRowRange,ActualDataRange))</f>
        <v>1</v>
      </c>
      <c r="P2" s="31" cm="1">
        <f t="array" ref="P2">_xlfn.XLOOKUP($A2,DataColumnRange,_xlfn.XLOOKUP(P$1,dataRowRange,ActualDataRange))</f>
        <v>10</v>
      </c>
      <c r="Q2" s="31" cm="1">
        <f t="array" ref="Q2">_xlfn.XLOOKUP($A2,DataColumnRange,_xlfn.XLOOKUP(Q$1,dataRowRange,ActualDataRange))</f>
        <v>10</v>
      </c>
      <c r="R2" s="31" cm="1">
        <f t="array" ref="R2">_xlfn.XLOOKUP($A2,DataColumnRange,_xlfn.XLOOKUP(R$1,dataRowRange,ActualDataRange))</f>
        <v>10</v>
      </c>
      <c r="S2" s="31" t="str" cm="1">
        <f t="array" ref="S2">_xlfn.XLOOKUP($A2,DataColumnRange,_xlfn.XLOOKUP(S$1,dataRowRange,ActualDataRange))</f>
        <v>CM</v>
      </c>
      <c r="T2" s="31" t="str" cm="1">
        <f t="array" ref="T2">_xlfn.XLOOKUP($A2,DataColumnRange,_xlfn.XLOOKUP(T$1,dataRowRange,ActualDataRange))</f>
        <v>Cubic Feet</v>
      </c>
      <c r="U2" s="31" t="str" cm="1">
        <f t="array" ref="U2">_xlfn.XLOOKUP($A2,DataColumnRange,_xlfn.XLOOKUP(U$1,dataRowRange,ActualDataRange))</f>
        <v>No</v>
      </c>
      <c r="V2" s="31" t="str" cm="1">
        <f t="array" ref="V2">_xlfn.XLOOKUP($A2,DataColumnRange,_xlfn.XLOOKUP(V$1,dataRowRange,ActualDataRange))</f>
        <v>No</v>
      </c>
      <c r="W2" s="31" t="str" cm="1">
        <f t="array" ref="W2">_xlfn.XLOOKUP($A2,DataColumnRange,_xlfn.XLOOKUP(W$1,dataRowRange,ActualDataRange))</f>
        <v>No</v>
      </c>
      <c r="X2" s="31" cm="1">
        <f t="array" ref="X2">_xlfn.XLOOKUP($A2,DataColumnRange,_xlfn.XLOOKUP(X$1,dataRowRange,ActualDataRange))</f>
        <v>6</v>
      </c>
      <c r="Y2" s="31" t="str" cm="1">
        <f t="array" ref="Y2">_xlfn.XLOOKUP($A2,DataColumnRange,_xlfn.XLOOKUP(Y$1,dataRowRange,ActualDataRange))</f>
        <v>No</v>
      </c>
      <c r="Z2" s="31" t="str" cm="1">
        <f t="array" ref="Z2">_xlfn.XLOOKUP($A2,DataColumnRange,_xlfn.XLOOKUP(Z$1,dataRowRange,ActualDataRange))</f>
        <v>NA</v>
      </c>
      <c r="AA2" s="31" t="str" cm="1">
        <f t="array" ref="AA2">_xlfn.XLOOKUP($A2,DataColumnRange,_xlfn.XLOOKUP(AA$1,dataRowRange,ActualDataRange))</f>
        <v>000260018</v>
      </c>
      <c r="AB2" s="31" t="str" cm="1">
        <f t="array" ref="AB2">_xlfn.XLOOKUP($A2,DataColumnRange,_xlfn.XLOOKUP(AB$1,dataRowRange,ActualDataRange))</f>
        <v>GeneralCargoTemplate</v>
      </c>
      <c r="AC2" s="31" t="str" cm="1">
        <f t="array" ref="AC2">_xlfn.XLOOKUP($A2,DataColumnRange,_xlfn.XLOOKUP(AC$1,dataRowRange,ActualDataRange))</f>
        <v>CreditCard</v>
      </c>
      <c r="AD2" s="31" t="str" cm="1">
        <f t="array" ref="AD2">_xlfn.XLOOKUP($A2,DataColumnRange,_xlfn.XLOOKUP(AD$1,dataRowRange,ActualDataRange))</f>
        <v>NA</v>
      </c>
      <c r="AE2" s="31" t="str" cm="1">
        <f t="array" ref="AE2">_xlfn.XLOOKUP($A2,DataColumnRange,_xlfn.XLOOKUP(AE$1,dataRowRange,ActualDataRange))</f>
        <v>Test1</v>
      </c>
      <c r="AF2" s="31" t="str" cm="1">
        <f t="array" ref="AF2">_xlfn.XLOOKUP($A2,DataColumnRange,_xlfn.XLOOKUP(AF$1,dataRowRange,ActualDataRange))</f>
        <v>Test2</v>
      </c>
      <c r="AG2" s="31" t="str" cm="1">
        <f t="array" ref="AG2">_xlfn.XLOOKUP($A2,DataColumnRange,_xlfn.XLOOKUP(AG$1,dataRowRange,ActualDataRange))</f>
        <v>Atlanta</v>
      </c>
      <c r="AH2" s="31" t="str" cm="1">
        <f t="array" ref="AH2">_xlfn.XLOOKUP($A2,DataColumnRange,_xlfn.XLOOKUP(AH$1,dataRowRange,ActualDataRange))</f>
        <v>Georgia</v>
      </c>
      <c r="AI2" s="31" cm="1">
        <f t="array" ref="AI2">_xlfn.XLOOKUP($A2,DataColumnRange,_xlfn.XLOOKUP(AI$1,dataRowRange,ActualDataRange))</f>
        <v>55055</v>
      </c>
      <c r="AJ2" s="31" t="str" cm="1">
        <f t="array" ref="AJ2">_xlfn.XLOOKUP($A2,DataColumnRange,_xlfn.XLOOKUP(AJ$1,dataRowRange,ActualDataRange))</f>
        <v>000075010</v>
      </c>
      <c r="AK2" s="31" t="str" cm="1">
        <f t="array" ref="AK2">_xlfn.XLOOKUP($A2,DataColumnRange,_xlfn.XLOOKUP(AK$1,dataRowRange,ActualDataRange))</f>
        <v>Domestic</v>
      </c>
      <c r="AL2" s="31" cm="1">
        <f t="array" ref="AL2">_xlfn.XLOOKUP($A2,DataColumnRange,_xlfn.XLOOKUP(AL$1,dataRowRange,ActualDataRange))</f>
        <v>0</v>
      </c>
    </row>
    <row r="3" spans="1:38" ht="17" thickBot="1">
      <c r="A3" s="66" t="s">
        <v>285</v>
      </c>
      <c r="B3" s="43" t="s">
        <v>44</v>
      </c>
      <c r="C3" s="32" t="s">
        <v>178</v>
      </c>
      <c r="D3" s="40" t="str">
        <f>IF(TestCaseConfig!$B$2="Yes","Yes","No")</f>
        <v>Yes</v>
      </c>
      <c r="E3" s="31" t="str" cm="1">
        <f t="array" ref="E3">_xlfn.XLOOKUP($A3,DataColumnRange,_xlfn.XLOOKUP(E$1,dataRowRange,ActualDataRange))</f>
        <v>sumit.choudhary@delta.com</v>
      </c>
      <c r="F3" s="31" t="str" cm="1">
        <f t="array" ref="F3">_xlfn.XLOOKUP($A3,DataColumnRange,_xlfn.XLOOKUP(F$1,dataRowRange,ActualDataRange))</f>
        <v>Delta2</v>
      </c>
      <c r="G3" s="31" t="b" cm="1">
        <f t="array" ref="G3">_xlfn.XLOOKUP($A3,DataColumnRange,_xlfn.XLOOKUP(G$1,dataRowRange,ActualDataRange))</f>
        <v>1</v>
      </c>
      <c r="H3" s="31" t="str" cm="1">
        <f t="array" ref="H3">_xlfn.XLOOKUP($A3,DataColumnRange,_xlfn.XLOOKUP(H$1,dataRowRange,ActualDataRange))</f>
        <v>NA</v>
      </c>
      <c r="I3" s="31" t="str" cm="1">
        <f t="array" ref="I3">_xlfn.XLOOKUP($A3,DataColumnRange,_xlfn.XLOOKUP(I$1,dataRowRange,ActualDataRange))</f>
        <v>BOS</v>
      </c>
      <c r="J3" s="31" t="str" cm="1">
        <f t="array" ref="J3">_xlfn.XLOOKUP($A3,DataColumnRange,_xlfn.XLOOKUP(J$1,dataRowRange,ActualDataRange))</f>
        <v>JFK</v>
      </c>
      <c r="K3" s="31" t="str" cm="1">
        <f t="array" ref="K3">_xlfn.XLOOKUP($A3,DataColumnRange,_xlfn.XLOOKUP(K$1,dataRowRange,ActualDataRange))</f>
        <v>Medical shipment for transplant – Live Human Organ</v>
      </c>
      <c r="L3" s="31" t="str" cm="1">
        <f t="array" ref="L3">_xlfn.XLOOKUP($A3,DataColumnRange,_xlfn.XLOOKUP(L$1,dataRowRange,ActualDataRange))</f>
        <v>Test Medical</v>
      </c>
      <c r="M3" s="31" cm="1">
        <f t="array" ref="M3">_xlfn.XLOOKUP($A3,DataColumnRange,_xlfn.XLOOKUP(M$1,dataRowRange,ActualDataRange))</f>
        <v>50</v>
      </c>
      <c r="N3" s="31" t="str" cm="1">
        <f t="array" ref="N3">_xlfn.XLOOKUP($A3,DataColumnRange,_xlfn.XLOOKUP(N$1,dataRowRange,ActualDataRange))</f>
        <v>LB</v>
      </c>
      <c r="O3" s="31" cm="1">
        <f t="array" ref="O3">_xlfn.XLOOKUP($A3,DataColumnRange,_xlfn.XLOOKUP(O$1,dataRowRange,ActualDataRange))</f>
        <v>1</v>
      </c>
      <c r="P3" s="31" cm="1">
        <f t="array" ref="P3">_xlfn.XLOOKUP($A3,DataColumnRange,_xlfn.XLOOKUP(P$1,dataRowRange,ActualDataRange))</f>
        <v>10</v>
      </c>
      <c r="Q3" s="31" cm="1">
        <f t="array" ref="Q3">_xlfn.XLOOKUP($A3,DataColumnRange,_xlfn.XLOOKUP(Q$1,dataRowRange,ActualDataRange))</f>
        <v>10</v>
      </c>
      <c r="R3" s="31" cm="1">
        <f t="array" ref="R3">_xlfn.XLOOKUP($A3,DataColumnRange,_xlfn.XLOOKUP(R$1,dataRowRange,ActualDataRange))</f>
        <v>10</v>
      </c>
      <c r="S3" s="31" t="str" cm="1">
        <f t="array" ref="S3">_xlfn.XLOOKUP($A3,DataColumnRange,_xlfn.XLOOKUP(S$1,dataRowRange,ActualDataRange))</f>
        <v>IN</v>
      </c>
      <c r="T3" s="31" t="str" cm="1">
        <f t="array" ref="T3">_xlfn.XLOOKUP($A3,DataColumnRange,_xlfn.XLOOKUP(T$1,dataRowRange,ActualDataRange))</f>
        <v>Meters Cubed</v>
      </c>
      <c r="U3" s="31" t="str" cm="1">
        <f t="array" ref="U3">_xlfn.XLOOKUP($A3,DataColumnRange,_xlfn.XLOOKUP(U$1,dataRowRange,ActualDataRange))</f>
        <v>No</v>
      </c>
      <c r="V3" s="31" t="str" cm="1">
        <f t="array" ref="V3">_xlfn.XLOOKUP($A3,DataColumnRange,_xlfn.XLOOKUP(V$1,dataRowRange,ActualDataRange))</f>
        <v>No</v>
      </c>
      <c r="W3" s="31" t="str" cm="1">
        <f t="array" ref="W3">_xlfn.XLOOKUP($A3,DataColumnRange,_xlfn.XLOOKUP(W$1,dataRowRange,ActualDataRange))</f>
        <v>No</v>
      </c>
      <c r="X3" s="31" cm="1">
        <f t="array" ref="X3">_xlfn.XLOOKUP($A3,DataColumnRange,_xlfn.XLOOKUP(X$1,dataRowRange,ActualDataRange))</f>
        <v>6</v>
      </c>
      <c r="Y3" s="31" t="str" cm="1">
        <f t="array" ref="Y3">_xlfn.XLOOKUP($A3,DataColumnRange,_xlfn.XLOOKUP(Y$1,dataRowRange,ActualDataRange))</f>
        <v>No</v>
      </c>
      <c r="Z3" s="31" t="str" cm="1">
        <f t="array" ref="Z3">_xlfn.XLOOKUP($A3,DataColumnRange,_xlfn.XLOOKUP(Z$1,dataRowRange,ActualDataRange))</f>
        <v>NA</v>
      </c>
      <c r="AA3" s="31" t="str" cm="1">
        <f t="array" ref="AA3">_xlfn.XLOOKUP($A3,DataColumnRange,_xlfn.XLOOKUP(AA$1,dataRowRange,ActualDataRange))</f>
        <v>000260018</v>
      </c>
      <c r="AB3" s="31" t="str" cm="1">
        <f t="array" ref="AB3">_xlfn.XLOOKUP($A3,DataColumnRange,_xlfn.XLOOKUP(AB$1,dataRowRange,ActualDataRange))</f>
        <v>GeneralCargoTemplate</v>
      </c>
      <c r="AC3" s="31" t="str" cm="1">
        <f t="array" ref="AC3">_xlfn.XLOOKUP($A3,DataColumnRange,_xlfn.XLOOKUP(AC$1,dataRowRange,ActualDataRange))</f>
        <v>CreditCard</v>
      </c>
      <c r="AD3" s="31" t="str" cm="1">
        <f t="array" ref="AD3">_xlfn.XLOOKUP($A3,DataColumnRange,_xlfn.XLOOKUP(AD$1,dataRowRange,ActualDataRange))</f>
        <v>NA</v>
      </c>
      <c r="AE3" s="31" t="str" cm="1">
        <f t="array" ref="AE3">_xlfn.XLOOKUP($A3,DataColumnRange,_xlfn.XLOOKUP(AE$1,dataRowRange,ActualDataRange))</f>
        <v>Test1</v>
      </c>
      <c r="AF3" s="31" t="str" cm="1">
        <f t="array" ref="AF3">_xlfn.XLOOKUP($A3,DataColumnRange,_xlfn.XLOOKUP(AF$1,dataRowRange,ActualDataRange))</f>
        <v>Test2</v>
      </c>
      <c r="AG3" s="31" t="str" cm="1">
        <f t="array" ref="AG3">_xlfn.XLOOKUP($A3,DataColumnRange,_xlfn.XLOOKUP(AG$1,dataRowRange,ActualDataRange))</f>
        <v>Atlanta</v>
      </c>
      <c r="AH3" s="31" t="str" cm="1">
        <f t="array" ref="AH3">_xlfn.XLOOKUP($A3,DataColumnRange,_xlfn.XLOOKUP(AH$1,dataRowRange,ActualDataRange))</f>
        <v>Georgia</v>
      </c>
      <c r="AI3" s="31" cm="1">
        <f t="array" ref="AI3">_xlfn.XLOOKUP($A3,DataColumnRange,_xlfn.XLOOKUP(AI$1,dataRowRange,ActualDataRange))</f>
        <v>55055</v>
      </c>
      <c r="AJ3" s="31" t="str" cm="1">
        <f t="array" ref="AJ3">_xlfn.XLOOKUP($A3,DataColumnRange,_xlfn.XLOOKUP(AJ$1,dataRowRange,ActualDataRange))</f>
        <v>000075010</v>
      </c>
      <c r="AK3" s="31" t="str" cm="1">
        <f t="array" ref="AK3">_xlfn.XLOOKUP($A3,DataColumnRange,_xlfn.XLOOKUP(AK$1,dataRowRange,ActualDataRange))</f>
        <v>Domestic</v>
      </c>
      <c r="AL3" s="31" cm="1">
        <f t="array" ref="AL3">_xlfn.XLOOKUP($A3,DataColumnRange,_xlfn.XLOOKUP(AL$1,dataRowRange,ActualDataRange))</f>
        <v>0</v>
      </c>
    </row>
    <row r="4" spans="1:38" ht="17" thickBot="1">
      <c r="A4" s="66" t="s">
        <v>286</v>
      </c>
      <c r="B4" s="43" t="s">
        <v>44</v>
      </c>
      <c r="C4" s="32" t="s">
        <v>179</v>
      </c>
      <c r="D4" s="40" t="str">
        <f>IF(TestCaseConfig!$B$2="Yes","Yes","No")</f>
        <v>Yes</v>
      </c>
      <c r="E4" s="31" t="str" cm="1">
        <f t="array" ref="E4">_xlfn.XLOOKUP($A4,DataColumnRange,_xlfn.XLOOKUP(E$1,dataRowRange,ActualDataRange))</f>
        <v>sumit.choudhary@delta.com</v>
      </c>
      <c r="F4" s="31" t="str" cm="1">
        <f t="array" ref="F4">_xlfn.XLOOKUP($A4,DataColumnRange,_xlfn.XLOOKUP(F$1,dataRowRange,ActualDataRange))</f>
        <v>Delta2</v>
      </c>
      <c r="G4" s="31" t="b" cm="1">
        <f t="array" ref="G4">_xlfn.XLOOKUP($A4,DataColumnRange,_xlfn.XLOOKUP(G$1,dataRowRange,ActualDataRange))</f>
        <v>1</v>
      </c>
      <c r="H4" s="31" t="str" cm="1">
        <f t="array" ref="H4">_xlfn.XLOOKUP($A4,DataColumnRange,_xlfn.XLOOKUP(H$1,dataRowRange,ActualDataRange))</f>
        <v>NA</v>
      </c>
      <c r="I4" s="31" t="str" cm="1">
        <f t="array" ref="I4">_xlfn.XLOOKUP($A4,DataColumnRange,_xlfn.XLOOKUP(I$1,dataRowRange,ActualDataRange))</f>
        <v>MSP</v>
      </c>
      <c r="J4" s="31" t="str" cm="1">
        <f t="array" ref="J4">_xlfn.XLOOKUP($A4,DataColumnRange,_xlfn.XLOOKUP(J$1,dataRowRange,ActualDataRange))</f>
        <v>BOS</v>
      </c>
      <c r="K4" s="31" t="str" cm="1">
        <f t="array" ref="K4">_xlfn.XLOOKUP($A4,DataColumnRange,_xlfn.XLOOKUP(K$1,dataRowRange,ActualDataRange))</f>
        <v>Life-saving drugs and medication or cord-blood</v>
      </c>
      <c r="L4" s="31" t="str" cm="1">
        <f t="array" ref="L4">_xlfn.XLOOKUP($A4,DataColumnRange,_xlfn.XLOOKUP(L$1,dataRowRange,ActualDataRange))</f>
        <v>Test Medical</v>
      </c>
      <c r="M4" s="31" cm="1">
        <f t="array" ref="M4">_xlfn.XLOOKUP($A4,DataColumnRange,_xlfn.XLOOKUP(M$1,dataRowRange,ActualDataRange))</f>
        <v>60</v>
      </c>
      <c r="N4" s="31" t="str" cm="1">
        <f t="array" ref="N4">_xlfn.XLOOKUP($A4,DataColumnRange,_xlfn.XLOOKUP(N$1,dataRowRange,ActualDataRange))</f>
        <v>KG</v>
      </c>
      <c r="O4" s="31" cm="1">
        <f t="array" ref="O4">_xlfn.XLOOKUP($A4,DataColumnRange,_xlfn.XLOOKUP(O$1,dataRowRange,ActualDataRange))</f>
        <v>1</v>
      </c>
      <c r="P4" s="31" cm="1">
        <f t="array" ref="P4">_xlfn.XLOOKUP($A4,DataColumnRange,_xlfn.XLOOKUP(P$1,dataRowRange,ActualDataRange))</f>
        <v>10</v>
      </c>
      <c r="Q4" s="31" cm="1">
        <f t="array" ref="Q4">_xlfn.XLOOKUP($A4,DataColumnRange,_xlfn.XLOOKUP(Q$1,dataRowRange,ActualDataRange))</f>
        <v>10</v>
      </c>
      <c r="R4" s="31" cm="1">
        <f t="array" ref="R4">_xlfn.XLOOKUP($A4,DataColumnRange,_xlfn.XLOOKUP(R$1,dataRowRange,ActualDataRange))</f>
        <v>10</v>
      </c>
      <c r="S4" s="31" t="str" cm="1">
        <f t="array" ref="S4">_xlfn.XLOOKUP($A4,DataColumnRange,_xlfn.XLOOKUP(S$1,dataRowRange,ActualDataRange))</f>
        <v>CM</v>
      </c>
      <c r="T4" s="31" t="str" cm="1">
        <f t="array" ref="T4">_xlfn.XLOOKUP($A4,DataColumnRange,_xlfn.XLOOKUP(T$1,dataRowRange,ActualDataRange))</f>
        <v>Cubic Feet</v>
      </c>
      <c r="U4" s="31" t="str" cm="1">
        <f t="array" ref="U4">_xlfn.XLOOKUP($A4,DataColumnRange,_xlfn.XLOOKUP(U$1,dataRowRange,ActualDataRange))</f>
        <v>No</v>
      </c>
      <c r="V4" s="31" t="str" cm="1">
        <f t="array" ref="V4">_xlfn.XLOOKUP($A4,DataColumnRange,_xlfn.XLOOKUP(V$1,dataRowRange,ActualDataRange))</f>
        <v>No</v>
      </c>
      <c r="W4" s="31" t="str" cm="1">
        <f t="array" ref="W4">_xlfn.XLOOKUP($A4,DataColumnRange,_xlfn.XLOOKUP(W$1,dataRowRange,ActualDataRange))</f>
        <v>No</v>
      </c>
      <c r="X4" s="31" cm="1">
        <f t="array" ref="X4">_xlfn.XLOOKUP($A4,DataColumnRange,_xlfn.XLOOKUP(X$1,dataRowRange,ActualDataRange))</f>
        <v>6</v>
      </c>
      <c r="Y4" s="31" t="str" cm="1">
        <f t="array" ref="Y4">_xlfn.XLOOKUP($A4,DataColumnRange,_xlfn.XLOOKUP(Y$1,dataRowRange,ActualDataRange))</f>
        <v>No</v>
      </c>
      <c r="Z4" s="31" t="str" cm="1">
        <f t="array" ref="Z4">_xlfn.XLOOKUP($A4,DataColumnRange,_xlfn.XLOOKUP(Z$1,dataRowRange,ActualDataRange))</f>
        <v>NA</v>
      </c>
      <c r="AA4" s="31" t="str" cm="1">
        <f t="array" ref="AA4">_xlfn.XLOOKUP($A4,DataColumnRange,_xlfn.XLOOKUP(AA$1,dataRowRange,ActualDataRange))</f>
        <v>000260018</v>
      </c>
      <c r="AB4" s="31" t="str" cm="1">
        <f t="array" ref="AB4">_xlfn.XLOOKUP($A4,DataColumnRange,_xlfn.XLOOKUP(AB$1,dataRowRange,ActualDataRange))</f>
        <v>GeneralCargoTemplate</v>
      </c>
      <c r="AC4" s="31" t="str" cm="1">
        <f t="array" ref="AC4">_xlfn.XLOOKUP($A4,DataColumnRange,_xlfn.XLOOKUP(AC$1,dataRowRange,ActualDataRange))</f>
        <v>CreditCard</v>
      </c>
      <c r="AD4" s="31" t="str" cm="1">
        <f t="array" ref="AD4">_xlfn.XLOOKUP($A4,DataColumnRange,_xlfn.XLOOKUP(AD$1,dataRowRange,ActualDataRange))</f>
        <v>NA</v>
      </c>
      <c r="AE4" s="31" t="str" cm="1">
        <f t="array" ref="AE4">_xlfn.XLOOKUP($A4,DataColumnRange,_xlfn.XLOOKUP(AE$1,dataRowRange,ActualDataRange))</f>
        <v>Test1</v>
      </c>
      <c r="AF4" s="31" t="str" cm="1">
        <f t="array" ref="AF4">_xlfn.XLOOKUP($A4,DataColumnRange,_xlfn.XLOOKUP(AF$1,dataRowRange,ActualDataRange))</f>
        <v>Test2</v>
      </c>
      <c r="AG4" s="31" t="str" cm="1">
        <f t="array" ref="AG4">_xlfn.XLOOKUP($A4,DataColumnRange,_xlfn.XLOOKUP(AG$1,dataRowRange,ActualDataRange))</f>
        <v>Atlanta</v>
      </c>
      <c r="AH4" s="31" t="str" cm="1">
        <f t="array" ref="AH4">_xlfn.XLOOKUP($A4,DataColumnRange,_xlfn.XLOOKUP(AH$1,dataRowRange,ActualDataRange))</f>
        <v>Georgia</v>
      </c>
      <c r="AI4" s="31" cm="1">
        <f t="array" ref="AI4">_xlfn.XLOOKUP($A4,DataColumnRange,_xlfn.XLOOKUP(AI$1,dataRowRange,ActualDataRange))</f>
        <v>55055</v>
      </c>
      <c r="AJ4" s="31" t="str" cm="1">
        <f t="array" ref="AJ4">_xlfn.XLOOKUP($A4,DataColumnRange,_xlfn.XLOOKUP(AJ$1,dataRowRange,ActualDataRange))</f>
        <v>000075010</v>
      </c>
      <c r="AK4" s="31" t="str" cm="1">
        <f t="array" ref="AK4">_xlfn.XLOOKUP($A4,DataColumnRange,_xlfn.XLOOKUP(AK$1,dataRowRange,ActualDataRange))</f>
        <v>Domestic</v>
      </c>
      <c r="AL4" s="31" cm="1">
        <f t="array" ref="AL4">_xlfn.XLOOKUP($A4,DataColumnRange,_xlfn.XLOOKUP(AL$1,dataRowRange,ActualDataRange))</f>
        <v>0</v>
      </c>
    </row>
    <row r="5" spans="1:38" ht="17" thickBot="1">
      <c r="A5" s="66" t="s">
        <v>287</v>
      </c>
      <c r="B5" s="43" t="s">
        <v>44</v>
      </c>
      <c r="C5" s="32" t="s">
        <v>180</v>
      </c>
      <c r="D5" s="40" t="str">
        <f>IF(TestCaseConfig!$B$2="Yes","Yes","No")</f>
        <v>Yes</v>
      </c>
      <c r="E5" s="31" t="str" cm="1">
        <f t="array" ref="E5">_xlfn.XLOOKUP($A5,DataColumnRange,_xlfn.XLOOKUP(E$1,dataRowRange,ActualDataRange))</f>
        <v>sumit.choudhary@delta.com</v>
      </c>
      <c r="F5" s="31" t="str" cm="1">
        <f t="array" ref="F5">_xlfn.XLOOKUP($A5,DataColumnRange,_xlfn.XLOOKUP(F$1,dataRowRange,ActualDataRange))</f>
        <v>Delta2</v>
      </c>
      <c r="G5" s="31" t="b" cm="1">
        <f t="array" ref="G5">_xlfn.XLOOKUP($A5,DataColumnRange,_xlfn.XLOOKUP(G$1,dataRowRange,ActualDataRange))</f>
        <v>1</v>
      </c>
      <c r="H5" s="31" t="str" cm="1">
        <f t="array" ref="H5">_xlfn.XLOOKUP($A5,DataColumnRange,_xlfn.XLOOKUP(H$1,dataRowRange,ActualDataRange))</f>
        <v>NA</v>
      </c>
      <c r="I5" s="31" t="str" cm="1">
        <f t="array" ref="I5">_xlfn.XLOOKUP($A5,DataColumnRange,_xlfn.XLOOKUP(I$1,dataRowRange,ActualDataRange))</f>
        <v>BOS</v>
      </c>
      <c r="J5" s="31" t="str" cm="1">
        <f t="array" ref="J5">_xlfn.XLOOKUP($A5,DataColumnRange,_xlfn.XLOOKUP(J$1,dataRowRange,ActualDataRange))</f>
        <v>MSP</v>
      </c>
      <c r="K5" s="31" t="str" cm="1">
        <f t="array" ref="K5">_xlfn.XLOOKUP($A5,DataColumnRange,_xlfn.XLOOKUP(K$1,dataRowRange,ActualDataRange))</f>
        <v>Medical shipment for transplant – Other</v>
      </c>
      <c r="L5" s="31" t="str" cm="1">
        <f t="array" ref="L5">_xlfn.XLOOKUP($A5,DataColumnRange,_xlfn.XLOOKUP(L$1,dataRowRange,ActualDataRange))</f>
        <v>Test Medical</v>
      </c>
      <c r="M5" s="31" cm="1">
        <f t="array" ref="M5">_xlfn.XLOOKUP($A5,DataColumnRange,_xlfn.XLOOKUP(M$1,dataRowRange,ActualDataRange))</f>
        <v>40</v>
      </c>
      <c r="N5" s="31" t="str" cm="1">
        <f t="array" ref="N5">_xlfn.XLOOKUP($A5,DataColumnRange,_xlfn.XLOOKUP(N$1,dataRowRange,ActualDataRange))</f>
        <v>LB</v>
      </c>
      <c r="O5" s="31" cm="1">
        <f t="array" ref="O5">_xlfn.XLOOKUP($A5,DataColumnRange,_xlfn.XLOOKUP(O$1,dataRowRange,ActualDataRange))</f>
        <v>1</v>
      </c>
      <c r="P5" s="31" cm="1">
        <f t="array" ref="P5">_xlfn.XLOOKUP($A5,DataColumnRange,_xlfn.XLOOKUP(P$1,dataRowRange,ActualDataRange))</f>
        <v>10</v>
      </c>
      <c r="Q5" s="31" cm="1">
        <f t="array" ref="Q5">_xlfn.XLOOKUP($A5,DataColumnRange,_xlfn.XLOOKUP(Q$1,dataRowRange,ActualDataRange))</f>
        <v>10</v>
      </c>
      <c r="R5" s="31" cm="1">
        <f t="array" ref="R5">_xlfn.XLOOKUP($A5,DataColumnRange,_xlfn.XLOOKUP(R$1,dataRowRange,ActualDataRange))</f>
        <v>10</v>
      </c>
      <c r="S5" s="31" t="str" cm="1">
        <f t="array" ref="S5">_xlfn.XLOOKUP($A5,DataColumnRange,_xlfn.XLOOKUP(S$1,dataRowRange,ActualDataRange))</f>
        <v>IN</v>
      </c>
      <c r="T5" s="31" t="str" cm="1">
        <f t="array" ref="T5">_xlfn.XLOOKUP($A5,DataColumnRange,_xlfn.XLOOKUP(T$1,dataRowRange,ActualDataRange))</f>
        <v>Meters Cubed</v>
      </c>
      <c r="U5" s="31" t="str" cm="1">
        <f t="array" ref="U5">_xlfn.XLOOKUP($A5,DataColumnRange,_xlfn.XLOOKUP(U$1,dataRowRange,ActualDataRange))</f>
        <v>No</v>
      </c>
      <c r="V5" s="31" t="str" cm="1">
        <f t="array" ref="V5">_xlfn.XLOOKUP($A5,DataColumnRange,_xlfn.XLOOKUP(V$1,dataRowRange,ActualDataRange))</f>
        <v>No</v>
      </c>
      <c r="W5" s="31" t="str" cm="1">
        <f t="array" ref="W5">_xlfn.XLOOKUP($A5,DataColumnRange,_xlfn.XLOOKUP(W$1,dataRowRange,ActualDataRange))</f>
        <v>No</v>
      </c>
      <c r="X5" s="31" cm="1">
        <f t="array" ref="X5">_xlfn.XLOOKUP($A5,DataColumnRange,_xlfn.XLOOKUP(X$1,dataRowRange,ActualDataRange))</f>
        <v>6</v>
      </c>
      <c r="Y5" s="31" t="str" cm="1">
        <f t="array" ref="Y5">_xlfn.XLOOKUP($A5,DataColumnRange,_xlfn.XLOOKUP(Y$1,dataRowRange,ActualDataRange))</f>
        <v>No</v>
      </c>
      <c r="Z5" s="31" t="str" cm="1">
        <f t="array" ref="Z5">_xlfn.XLOOKUP($A5,DataColumnRange,_xlfn.XLOOKUP(Z$1,dataRowRange,ActualDataRange))</f>
        <v>NA</v>
      </c>
      <c r="AA5" s="31" t="str" cm="1">
        <f t="array" ref="AA5">_xlfn.XLOOKUP($A5,DataColumnRange,_xlfn.XLOOKUP(AA$1,dataRowRange,ActualDataRange))</f>
        <v>000260018</v>
      </c>
      <c r="AB5" s="31" t="str" cm="1">
        <f t="array" ref="AB5">_xlfn.XLOOKUP($A5,DataColumnRange,_xlfn.XLOOKUP(AB$1,dataRowRange,ActualDataRange))</f>
        <v>GeneralCargoTemplate</v>
      </c>
      <c r="AC5" s="31" t="str" cm="1">
        <f t="array" ref="AC5">_xlfn.XLOOKUP($A5,DataColumnRange,_xlfn.XLOOKUP(AC$1,dataRowRange,ActualDataRange))</f>
        <v>CreditCard</v>
      </c>
      <c r="AD5" s="31" t="str" cm="1">
        <f t="array" ref="AD5">_xlfn.XLOOKUP($A5,DataColumnRange,_xlfn.XLOOKUP(AD$1,dataRowRange,ActualDataRange))</f>
        <v>NA</v>
      </c>
      <c r="AE5" s="31" t="str" cm="1">
        <f t="array" ref="AE5">_xlfn.XLOOKUP($A5,DataColumnRange,_xlfn.XLOOKUP(AE$1,dataRowRange,ActualDataRange))</f>
        <v>Test1</v>
      </c>
      <c r="AF5" s="31" t="str" cm="1">
        <f t="array" ref="AF5">_xlfn.XLOOKUP($A5,DataColumnRange,_xlfn.XLOOKUP(AF$1,dataRowRange,ActualDataRange))</f>
        <v>Test2</v>
      </c>
      <c r="AG5" s="31" t="str" cm="1">
        <f t="array" ref="AG5">_xlfn.XLOOKUP($A5,DataColumnRange,_xlfn.XLOOKUP(AG$1,dataRowRange,ActualDataRange))</f>
        <v>Atlanta</v>
      </c>
      <c r="AH5" s="31" t="str" cm="1">
        <f t="array" ref="AH5">_xlfn.XLOOKUP($A5,DataColumnRange,_xlfn.XLOOKUP(AH$1,dataRowRange,ActualDataRange))</f>
        <v>Georgia</v>
      </c>
      <c r="AI5" s="31" cm="1">
        <f t="array" ref="AI5">_xlfn.XLOOKUP($A5,DataColumnRange,_xlfn.XLOOKUP(AI$1,dataRowRange,ActualDataRange))</f>
        <v>55055</v>
      </c>
      <c r="AJ5" s="31" t="str" cm="1">
        <f t="array" ref="AJ5">_xlfn.XLOOKUP($A5,DataColumnRange,_xlfn.XLOOKUP(AJ$1,dataRowRange,ActualDataRange))</f>
        <v>000075010</v>
      </c>
      <c r="AK5" s="31" t="str" cm="1">
        <f t="array" ref="AK5">_xlfn.XLOOKUP($A5,DataColumnRange,_xlfn.XLOOKUP(AK$1,dataRowRange,ActualDataRange))</f>
        <v>Domestic</v>
      </c>
      <c r="AL5" s="31" cm="1">
        <f t="array" ref="AL5">_xlfn.XLOOKUP($A5,DataColumnRange,_xlfn.XLOOKUP(AL$1,dataRowRange,ActualDataRange))</f>
        <v>0</v>
      </c>
    </row>
    <row r="6" spans="1:38" ht="17" thickBot="1">
      <c r="A6" s="66" t="s">
        <v>288</v>
      </c>
      <c r="B6" s="43" t="s">
        <v>44</v>
      </c>
      <c r="C6" s="32" t="s">
        <v>181</v>
      </c>
      <c r="D6" s="40" t="str">
        <f>IF(TestCaseConfig!$B$2="Yes","Yes","No")</f>
        <v>Yes</v>
      </c>
      <c r="E6" s="31" t="str" cm="1">
        <f t="array" ref="E6">_xlfn.XLOOKUP($A6,DataColumnRange,_xlfn.XLOOKUP(E$1,dataRowRange,ActualDataRange))</f>
        <v>sumit.choudhary@delta.com</v>
      </c>
      <c r="F6" s="31" t="str" cm="1">
        <f t="array" ref="F6">_xlfn.XLOOKUP($A6,DataColumnRange,_xlfn.XLOOKUP(F$1,dataRowRange,ActualDataRange))</f>
        <v>Delta2</v>
      </c>
      <c r="G6" s="31" t="b" cm="1">
        <f t="array" ref="G6">_xlfn.XLOOKUP($A6,DataColumnRange,_xlfn.XLOOKUP(G$1,dataRowRange,ActualDataRange))</f>
        <v>1</v>
      </c>
      <c r="H6" s="31" t="str" cm="1">
        <f t="array" ref="H6">_xlfn.XLOOKUP($A6,DataColumnRange,_xlfn.XLOOKUP(H$1,dataRowRange,ActualDataRange))</f>
        <v>NA</v>
      </c>
      <c r="I6" s="31" t="str" cm="1">
        <f t="array" ref="I6">_xlfn.XLOOKUP($A6,DataColumnRange,_xlfn.XLOOKUP(I$1,dataRowRange,ActualDataRange))</f>
        <v>ATL</v>
      </c>
      <c r="J6" s="31" t="str" cm="1">
        <f t="array" ref="J6">_xlfn.XLOOKUP($A6,DataColumnRange,_xlfn.XLOOKUP(J$1,dataRowRange,ActualDataRange))</f>
        <v>JFK</v>
      </c>
      <c r="K6" s="31" t="str" cm="1">
        <f t="array" ref="K6">_xlfn.XLOOKUP($A6,DataColumnRange,_xlfn.XLOOKUP(K$1,dataRowRange,ActualDataRange))</f>
        <v>Medical shipment not for transplant - Diagnostic Specimen</v>
      </c>
      <c r="L6" s="31" t="str" cm="1">
        <f t="array" ref="L6">_xlfn.XLOOKUP($A6,DataColumnRange,_xlfn.XLOOKUP(L$1,dataRowRange,ActualDataRange))</f>
        <v>Test Medical</v>
      </c>
      <c r="M6" s="31" cm="1">
        <f t="array" ref="M6">_xlfn.XLOOKUP($A6,DataColumnRange,_xlfn.XLOOKUP(M$1,dataRowRange,ActualDataRange))</f>
        <v>50</v>
      </c>
      <c r="N6" s="31" t="str" cm="1">
        <f t="array" ref="N6">_xlfn.XLOOKUP($A6,DataColumnRange,_xlfn.XLOOKUP(N$1,dataRowRange,ActualDataRange))</f>
        <v>KG</v>
      </c>
      <c r="O6" s="31" cm="1">
        <f t="array" ref="O6">_xlfn.XLOOKUP($A6,DataColumnRange,_xlfn.XLOOKUP(O$1,dataRowRange,ActualDataRange))</f>
        <v>1</v>
      </c>
      <c r="P6" s="31" cm="1">
        <f t="array" ref="P6">_xlfn.XLOOKUP($A6,DataColumnRange,_xlfn.XLOOKUP(P$1,dataRowRange,ActualDataRange))</f>
        <v>10</v>
      </c>
      <c r="Q6" s="31" cm="1">
        <f t="array" ref="Q6">_xlfn.XLOOKUP($A6,DataColumnRange,_xlfn.XLOOKUP(Q$1,dataRowRange,ActualDataRange))</f>
        <v>10</v>
      </c>
      <c r="R6" s="31" cm="1">
        <f t="array" ref="R6">_xlfn.XLOOKUP($A6,DataColumnRange,_xlfn.XLOOKUP(R$1,dataRowRange,ActualDataRange))</f>
        <v>10</v>
      </c>
      <c r="S6" s="31" t="str" cm="1">
        <f t="array" ref="S6">_xlfn.XLOOKUP($A6,DataColumnRange,_xlfn.XLOOKUP(S$1,dataRowRange,ActualDataRange))</f>
        <v>CM</v>
      </c>
      <c r="T6" s="31" t="str" cm="1">
        <f t="array" ref="T6">_xlfn.XLOOKUP($A6,DataColumnRange,_xlfn.XLOOKUP(T$1,dataRowRange,ActualDataRange))</f>
        <v>Cubic Feet</v>
      </c>
      <c r="U6" s="31" t="str" cm="1">
        <f t="array" ref="U6">_xlfn.XLOOKUP($A6,DataColumnRange,_xlfn.XLOOKUP(U$1,dataRowRange,ActualDataRange))</f>
        <v>No</v>
      </c>
      <c r="V6" s="31" t="str" cm="1">
        <f t="array" ref="V6">_xlfn.XLOOKUP($A6,DataColumnRange,_xlfn.XLOOKUP(V$1,dataRowRange,ActualDataRange))</f>
        <v>No</v>
      </c>
      <c r="W6" s="31" t="str" cm="1">
        <f t="array" ref="W6">_xlfn.XLOOKUP($A6,DataColumnRange,_xlfn.XLOOKUP(W$1,dataRowRange,ActualDataRange))</f>
        <v>No</v>
      </c>
      <c r="X6" s="31" cm="1">
        <f t="array" ref="X6">_xlfn.XLOOKUP($A6,DataColumnRange,_xlfn.XLOOKUP(X$1,dataRowRange,ActualDataRange))</f>
        <v>6</v>
      </c>
      <c r="Y6" s="31" t="str" cm="1">
        <f t="array" ref="Y6">_xlfn.XLOOKUP($A6,DataColumnRange,_xlfn.XLOOKUP(Y$1,dataRowRange,ActualDataRange))</f>
        <v>No</v>
      </c>
      <c r="Z6" s="31" t="str" cm="1">
        <f t="array" ref="Z6">_xlfn.XLOOKUP($A6,DataColumnRange,_xlfn.XLOOKUP(Z$1,dataRowRange,ActualDataRange))</f>
        <v>NA</v>
      </c>
      <c r="AA6" s="31" t="str" cm="1">
        <f t="array" ref="AA6">_xlfn.XLOOKUP($A6,DataColumnRange,_xlfn.XLOOKUP(AA$1,dataRowRange,ActualDataRange))</f>
        <v>000260018</v>
      </c>
      <c r="AB6" s="31" t="str" cm="1">
        <f t="array" ref="AB6">_xlfn.XLOOKUP($A6,DataColumnRange,_xlfn.XLOOKUP(AB$1,dataRowRange,ActualDataRange))</f>
        <v>GeneralCargoTemplate</v>
      </c>
      <c r="AC6" s="31" t="str" cm="1">
        <f t="array" ref="AC6">_xlfn.XLOOKUP($A6,DataColumnRange,_xlfn.XLOOKUP(AC$1,dataRowRange,ActualDataRange))</f>
        <v>CreditCard</v>
      </c>
      <c r="AD6" s="31" t="str" cm="1">
        <f t="array" ref="AD6">_xlfn.XLOOKUP($A6,DataColumnRange,_xlfn.XLOOKUP(AD$1,dataRowRange,ActualDataRange))</f>
        <v>NA</v>
      </c>
      <c r="AE6" s="31" t="str" cm="1">
        <f t="array" ref="AE6">_xlfn.XLOOKUP($A6,DataColumnRange,_xlfn.XLOOKUP(AE$1,dataRowRange,ActualDataRange))</f>
        <v>Test1</v>
      </c>
      <c r="AF6" s="31" t="str" cm="1">
        <f t="array" ref="AF6">_xlfn.XLOOKUP($A6,DataColumnRange,_xlfn.XLOOKUP(AF$1,dataRowRange,ActualDataRange))</f>
        <v>Test2</v>
      </c>
      <c r="AG6" s="31" t="str" cm="1">
        <f t="array" ref="AG6">_xlfn.XLOOKUP($A6,DataColumnRange,_xlfn.XLOOKUP(AG$1,dataRowRange,ActualDataRange))</f>
        <v>Atlanta</v>
      </c>
      <c r="AH6" s="31" t="str" cm="1">
        <f t="array" ref="AH6">_xlfn.XLOOKUP($A6,DataColumnRange,_xlfn.XLOOKUP(AH$1,dataRowRange,ActualDataRange))</f>
        <v>Georgia</v>
      </c>
      <c r="AI6" s="31" cm="1">
        <f t="array" ref="AI6">_xlfn.XLOOKUP($A6,DataColumnRange,_xlfn.XLOOKUP(AI$1,dataRowRange,ActualDataRange))</f>
        <v>55055</v>
      </c>
      <c r="AJ6" s="31" t="str" cm="1">
        <f t="array" ref="AJ6">_xlfn.XLOOKUP($A6,DataColumnRange,_xlfn.XLOOKUP(AJ$1,dataRowRange,ActualDataRange))</f>
        <v>000075010</v>
      </c>
      <c r="AK6" s="31" t="str" cm="1">
        <f t="array" ref="AK6">_xlfn.XLOOKUP($A6,DataColumnRange,_xlfn.XLOOKUP(AK$1,dataRowRange,ActualDataRange))</f>
        <v>Domestic</v>
      </c>
      <c r="AL6" s="31" cm="1">
        <f t="array" ref="AL6">_xlfn.XLOOKUP($A6,DataColumnRange,_xlfn.XLOOKUP(AL$1,dataRowRange,ActualDataRange))</f>
        <v>0</v>
      </c>
    </row>
    <row r="7" spans="1:38" ht="17" thickBot="1">
      <c r="A7" s="66" t="s">
        <v>289</v>
      </c>
      <c r="B7" s="43" t="s">
        <v>44</v>
      </c>
      <c r="C7" s="32" t="s">
        <v>182</v>
      </c>
      <c r="D7" s="40" t="str">
        <f>IF(TestCaseConfig!$B$2="Yes","Yes","No")</f>
        <v>Yes</v>
      </c>
      <c r="E7" s="31" t="str" cm="1">
        <f t="array" ref="E7">_xlfn.XLOOKUP($A7,DataColumnRange,_xlfn.XLOOKUP(E$1,dataRowRange,ActualDataRange))</f>
        <v>sumit.choudhary@delta.com</v>
      </c>
      <c r="F7" s="31" t="str" cm="1">
        <f t="array" ref="F7">_xlfn.XLOOKUP($A7,DataColumnRange,_xlfn.XLOOKUP(F$1,dataRowRange,ActualDataRange))</f>
        <v>Delta2</v>
      </c>
      <c r="G7" s="31" t="b" cm="1">
        <f t="array" ref="G7">_xlfn.XLOOKUP($A7,DataColumnRange,_xlfn.XLOOKUP(G$1,dataRowRange,ActualDataRange))</f>
        <v>1</v>
      </c>
      <c r="H7" s="31" t="str" cm="1">
        <f t="array" ref="H7">_xlfn.XLOOKUP($A7,DataColumnRange,_xlfn.XLOOKUP(H$1,dataRowRange,ActualDataRange))</f>
        <v>NA</v>
      </c>
      <c r="I7" s="31" t="str" cm="1">
        <f t="array" ref="I7">_xlfn.XLOOKUP($A7,DataColumnRange,_xlfn.XLOOKUP(I$1,dataRowRange,ActualDataRange))</f>
        <v>ATL</v>
      </c>
      <c r="J7" s="31" t="str" cm="1">
        <f t="array" ref="J7">_xlfn.XLOOKUP($A7,DataColumnRange,_xlfn.XLOOKUP(J$1,dataRowRange,ActualDataRange))</f>
        <v>CDG</v>
      </c>
      <c r="K7" s="31" t="str" cm="1">
        <f t="array" ref="K7">_xlfn.XLOOKUP($A7,DataColumnRange,_xlfn.XLOOKUP(K$1,dataRowRange,ActualDataRange))</f>
        <v>Medical shipment not for transplant - Other</v>
      </c>
      <c r="L7" s="31" t="str" cm="1">
        <f t="array" ref="L7">_xlfn.XLOOKUP($A7,DataColumnRange,_xlfn.XLOOKUP(L$1,dataRowRange,ActualDataRange))</f>
        <v>Test Medical</v>
      </c>
      <c r="M7" s="31" cm="1">
        <f t="array" ref="M7">_xlfn.XLOOKUP($A7,DataColumnRange,_xlfn.XLOOKUP(M$1,dataRowRange,ActualDataRange))</f>
        <v>60</v>
      </c>
      <c r="N7" s="31" t="str" cm="1">
        <f t="array" ref="N7">_xlfn.XLOOKUP($A7,DataColumnRange,_xlfn.XLOOKUP(N$1,dataRowRange,ActualDataRange))</f>
        <v>LB</v>
      </c>
      <c r="O7" s="31" cm="1">
        <f t="array" ref="O7">_xlfn.XLOOKUP($A7,DataColumnRange,_xlfn.XLOOKUP(O$1,dataRowRange,ActualDataRange))</f>
        <v>1</v>
      </c>
      <c r="P7" s="31" cm="1">
        <f t="array" ref="P7">_xlfn.XLOOKUP($A7,DataColumnRange,_xlfn.XLOOKUP(P$1,dataRowRange,ActualDataRange))</f>
        <v>10</v>
      </c>
      <c r="Q7" s="31" cm="1">
        <f t="array" ref="Q7">_xlfn.XLOOKUP($A7,DataColumnRange,_xlfn.XLOOKUP(Q$1,dataRowRange,ActualDataRange))</f>
        <v>10</v>
      </c>
      <c r="R7" s="31" cm="1">
        <f t="array" ref="R7">_xlfn.XLOOKUP($A7,DataColumnRange,_xlfn.XLOOKUP(R$1,dataRowRange,ActualDataRange))</f>
        <v>10</v>
      </c>
      <c r="S7" s="31" t="str" cm="1">
        <f t="array" ref="S7">_xlfn.XLOOKUP($A7,DataColumnRange,_xlfn.XLOOKUP(S$1,dataRowRange,ActualDataRange))</f>
        <v>IN</v>
      </c>
      <c r="T7" s="31" t="str" cm="1">
        <f t="array" ref="T7">_xlfn.XLOOKUP($A7,DataColumnRange,_xlfn.XLOOKUP(T$1,dataRowRange,ActualDataRange))</f>
        <v>Meters Cubed</v>
      </c>
      <c r="U7" s="31" t="str" cm="1">
        <f t="array" ref="U7">_xlfn.XLOOKUP($A7,DataColumnRange,_xlfn.XLOOKUP(U$1,dataRowRange,ActualDataRange))</f>
        <v>No</v>
      </c>
      <c r="V7" s="31" t="str" cm="1">
        <f t="array" ref="V7">_xlfn.XLOOKUP($A7,DataColumnRange,_xlfn.XLOOKUP(V$1,dataRowRange,ActualDataRange))</f>
        <v>No</v>
      </c>
      <c r="W7" s="31" t="str" cm="1">
        <f t="array" ref="W7">_xlfn.XLOOKUP($A7,DataColumnRange,_xlfn.XLOOKUP(W$1,dataRowRange,ActualDataRange))</f>
        <v>No</v>
      </c>
      <c r="X7" s="31" cm="1">
        <f t="array" ref="X7">_xlfn.XLOOKUP($A7,DataColumnRange,_xlfn.XLOOKUP(X$1,dataRowRange,ActualDataRange))</f>
        <v>6</v>
      </c>
      <c r="Y7" s="31" t="str" cm="1">
        <f t="array" ref="Y7">_xlfn.XLOOKUP($A7,DataColumnRange,_xlfn.XLOOKUP(Y$1,dataRowRange,ActualDataRange))</f>
        <v>No</v>
      </c>
      <c r="Z7" s="31" t="str" cm="1">
        <f t="array" ref="Z7">_xlfn.XLOOKUP($A7,DataColumnRange,_xlfn.XLOOKUP(Z$1,dataRowRange,ActualDataRange))</f>
        <v>NA</v>
      </c>
      <c r="AA7" s="31" t="str" cm="1">
        <f t="array" ref="AA7">_xlfn.XLOOKUP($A7,DataColumnRange,_xlfn.XLOOKUP(AA$1,dataRowRange,ActualDataRange))</f>
        <v>000260018</v>
      </c>
      <c r="AB7" s="31" t="str" cm="1">
        <f t="array" ref="AB7">_xlfn.XLOOKUP($A7,DataColumnRange,_xlfn.XLOOKUP(AB$1,dataRowRange,ActualDataRange))</f>
        <v>GeneralCargoTemplate</v>
      </c>
      <c r="AC7" s="31" t="str" cm="1">
        <f t="array" ref="AC7">_xlfn.XLOOKUP($A7,DataColumnRange,_xlfn.XLOOKUP(AC$1,dataRowRange,ActualDataRange))</f>
        <v>CreditCard</v>
      </c>
      <c r="AD7" s="31" t="str" cm="1">
        <f t="array" ref="AD7">_xlfn.XLOOKUP($A7,DataColumnRange,_xlfn.XLOOKUP(AD$1,dataRowRange,ActualDataRange))</f>
        <v>NA</v>
      </c>
      <c r="AE7" s="31" t="str" cm="1">
        <f t="array" ref="AE7">_xlfn.XLOOKUP($A7,DataColumnRange,_xlfn.XLOOKUP(AE$1,dataRowRange,ActualDataRange))</f>
        <v>Test1</v>
      </c>
      <c r="AF7" s="31" t="str" cm="1">
        <f t="array" ref="AF7">_xlfn.XLOOKUP($A7,DataColumnRange,_xlfn.XLOOKUP(AF$1,dataRowRange,ActualDataRange))</f>
        <v>Test2</v>
      </c>
      <c r="AG7" s="31" t="str" cm="1">
        <f t="array" ref="AG7">_xlfn.XLOOKUP($A7,DataColumnRange,_xlfn.XLOOKUP(AG$1,dataRowRange,ActualDataRange))</f>
        <v>Atlanta</v>
      </c>
      <c r="AH7" s="31" t="str" cm="1">
        <f t="array" ref="AH7">_xlfn.XLOOKUP($A7,DataColumnRange,_xlfn.XLOOKUP(AH$1,dataRowRange,ActualDataRange))</f>
        <v>Georgia</v>
      </c>
      <c r="AI7" s="31" cm="1">
        <f t="array" ref="AI7">_xlfn.XLOOKUP($A7,DataColumnRange,_xlfn.XLOOKUP(AI$1,dataRowRange,ActualDataRange))</f>
        <v>55055</v>
      </c>
      <c r="AJ7" s="31" t="str" cm="1">
        <f t="array" ref="AJ7">_xlfn.XLOOKUP($A7,DataColumnRange,_xlfn.XLOOKUP(AJ$1,dataRowRange,ActualDataRange))</f>
        <v>171276181</v>
      </c>
      <c r="AK7" s="31" t="str" cm="1">
        <f t="array" ref="AK7">_xlfn.XLOOKUP($A7,DataColumnRange,_xlfn.XLOOKUP(AK$1,dataRowRange,ActualDataRange))</f>
        <v>International</v>
      </c>
      <c r="AL7" s="31" cm="1">
        <f t="array" ref="AL7">_xlfn.XLOOKUP($A7,DataColumnRange,_xlfn.XLOOKUP(AL$1,dataRowRange,ActualDataRange))</f>
        <v>0</v>
      </c>
    </row>
    <row r="8" spans="1:38" ht="17" thickBot="1">
      <c r="A8" s="66" t="s">
        <v>290</v>
      </c>
      <c r="B8" s="43" t="s">
        <v>44</v>
      </c>
      <c r="C8" s="32" t="s">
        <v>177</v>
      </c>
      <c r="D8" s="40" t="str">
        <f>IF(TestCaseConfig!$B$2="Yes","Yes","No")</f>
        <v>Yes</v>
      </c>
      <c r="E8" s="31" t="str" cm="1">
        <f t="array" ref="E8">_xlfn.XLOOKUP($A8,DataColumnRange,_xlfn.XLOOKUP(E$1,dataRowRange,ActualDataRange))</f>
        <v>sumit.choudhary@delta.com</v>
      </c>
      <c r="F8" s="31" t="str" cm="1">
        <f t="array" ref="F8">_xlfn.XLOOKUP($A8,DataColumnRange,_xlfn.XLOOKUP(F$1,dataRowRange,ActualDataRange))</f>
        <v>Delta2</v>
      </c>
      <c r="G8" s="31" t="b" cm="1">
        <f t="array" ref="G8">_xlfn.XLOOKUP($A8,DataColumnRange,_xlfn.XLOOKUP(G$1,dataRowRange,ActualDataRange))</f>
        <v>1</v>
      </c>
      <c r="H8" s="31" t="str" cm="1">
        <f t="array" ref="H8">_xlfn.XLOOKUP($A8,DataColumnRange,_xlfn.XLOOKUP(H$1,dataRowRange,ActualDataRange))</f>
        <v>NA</v>
      </c>
      <c r="I8" s="31" t="str" cm="1">
        <f t="array" ref="I8">_xlfn.XLOOKUP($A8,DataColumnRange,_xlfn.XLOOKUP(I$1,dataRowRange,ActualDataRange))</f>
        <v>ATL</v>
      </c>
      <c r="J8" s="31" t="str" cm="1">
        <f t="array" ref="J8">_xlfn.XLOOKUP($A8,DataColumnRange,_xlfn.XLOOKUP(J$1,dataRowRange,ActualDataRange))</f>
        <v>LHR</v>
      </c>
      <c r="K8" s="31" t="str" cm="1">
        <f t="array" ref="K8">_xlfn.XLOOKUP($A8,DataColumnRange,_xlfn.XLOOKUP(K$1,dataRowRange,ActualDataRange))</f>
        <v>Medical shipment – Medevac</v>
      </c>
      <c r="L8" s="31" t="str" cm="1">
        <f t="array" ref="L8">_xlfn.XLOOKUP($A8,DataColumnRange,_xlfn.XLOOKUP(L$1,dataRowRange,ActualDataRange))</f>
        <v>Test Medical</v>
      </c>
      <c r="M8" s="31" cm="1">
        <f t="array" ref="M8">_xlfn.XLOOKUP($A8,DataColumnRange,_xlfn.XLOOKUP(M$1,dataRowRange,ActualDataRange))</f>
        <v>55</v>
      </c>
      <c r="N8" s="31" t="str" cm="1">
        <f t="array" ref="N8">_xlfn.XLOOKUP($A8,DataColumnRange,_xlfn.XLOOKUP(N$1,dataRowRange,ActualDataRange))</f>
        <v>KG</v>
      </c>
      <c r="O8" s="31" cm="1">
        <f t="array" ref="O8">_xlfn.XLOOKUP($A8,DataColumnRange,_xlfn.XLOOKUP(O$1,dataRowRange,ActualDataRange))</f>
        <v>1</v>
      </c>
      <c r="P8" s="31" cm="1">
        <f t="array" ref="P8">_xlfn.XLOOKUP($A8,DataColumnRange,_xlfn.XLOOKUP(P$1,dataRowRange,ActualDataRange))</f>
        <v>10</v>
      </c>
      <c r="Q8" s="31" cm="1">
        <f t="array" ref="Q8">_xlfn.XLOOKUP($A8,DataColumnRange,_xlfn.XLOOKUP(Q$1,dataRowRange,ActualDataRange))</f>
        <v>10</v>
      </c>
      <c r="R8" s="31" cm="1">
        <f t="array" ref="R8">_xlfn.XLOOKUP($A8,DataColumnRange,_xlfn.XLOOKUP(R$1,dataRowRange,ActualDataRange))</f>
        <v>10</v>
      </c>
      <c r="S8" s="31" t="str" cm="1">
        <f t="array" ref="S8">_xlfn.XLOOKUP($A8,DataColumnRange,_xlfn.XLOOKUP(S$1,dataRowRange,ActualDataRange))</f>
        <v>CM</v>
      </c>
      <c r="T8" s="31" t="str" cm="1">
        <f t="array" ref="T8">_xlfn.XLOOKUP($A8,DataColumnRange,_xlfn.XLOOKUP(T$1,dataRowRange,ActualDataRange))</f>
        <v>Cubic Feet</v>
      </c>
      <c r="U8" s="31" t="str" cm="1">
        <f t="array" ref="U8">_xlfn.XLOOKUP($A8,DataColumnRange,_xlfn.XLOOKUP(U$1,dataRowRange,ActualDataRange))</f>
        <v>No</v>
      </c>
      <c r="V8" s="31" t="str" cm="1">
        <f t="array" ref="V8">_xlfn.XLOOKUP($A8,DataColumnRange,_xlfn.XLOOKUP(V$1,dataRowRange,ActualDataRange))</f>
        <v>No</v>
      </c>
      <c r="W8" s="31" t="str" cm="1">
        <f t="array" ref="W8">_xlfn.XLOOKUP($A8,DataColumnRange,_xlfn.XLOOKUP(W$1,dataRowRange,ActualDataRange))</f>
        <v>No</v>
      </c>
      <c r="X8" s="31" cm="1">
        <f t="array" ref="X8">_xlfn.XLOOKUP($A8,DataColumnRange,_xlfn.XLOOKUP(X$1,dataRowRange,ActualDataRange))</f>
        <v>6</v>
      </c>
      <c r="Y8" s="31" t="str" cm="1">
        <f t="array" ref="Y8">_xlfn.XLOOKUP($A8,DataColumnRange,_xlfn.XLOOKUP(Y$1,dataRowRange,ActualDataRange))</f>
        <v>No</v>
      </c>
      <c r="Z8" s="31" t="str" cm="1">
        <f t="array" ref="Z8">_xlfn.XLOOKUP($A8,DataColumnRange,_xlfn.XLOOKUP(Z$1,dataRowRange,ActualDataRange))</f>
        <v>NA</v>
      </c>
      <c r="AA8" s="31" t="str" cm="1">
        <f t="array" ref="AA8">_xlfn.XLOOKUP($A8,DataColumnRange,_xlfn.XLOOKUP(AA$1,dataRowRange,ActualDataRange))</f>
        <v>000260018</v>
      </c>
      <c r="AB8" s="31" t="str" cm="1">
        <f t="array" ref="AB8">_xlfn.XLOOKUP($A8,DataColumnRange,_xlfn.XLOOKUP(AB$1,dataRowRange,ActualDataRange))</f>
        <v>GeneralCargoTemplate</v>
      </c>
      <c r="AC8" s="31" t="str" cm="1">
        <f t="array" ref="AC8">_xlfn.XLOOKUP($A8,DataColumnRange,_xlfn.XLOOKUP(AC$1,dataRowRange,ActualDataRange))</f>
        <v>CreditCard</v>
      </c>
      <c r="AD8" s="31" t="str" cm="1">
        <f t="array" ref="AD8">_xlfn.XLOOKUP($A8,DataColumnRange,_xlfn.XLOOKUP(AD$1,dataRowRange,ActualDataRange))</f>
        <v>NA</v>
      </c>
      <c r="AE8" s="31" t="str" cm="1">
        <f t="array" ref="AE8">_xlfn.XLOOKUP($A8,DataColumnRange,_xlfn.XLOOKUP(AE$1,dataRowRange,ActualDataRange))</f>
        <v>Test1</v>
      </c>
      <c r="AF8" s="31" t="str" cm="1">
        <f t="array" ref="AF8">_xlfn.XLOOKUP($A8,DataColumnRange,_xlfn.XLOOKUP(AF$1,dataRowRange,ActualDataRange))</f>
        <v>Test2</v>
      </c>
      <c r="AG8" s="31" t="str" cm="1">
        <f t="array" ref="AG8">_xlfn.XLOOKUP($A8,DataColumnRange,_xlfn.XLOOKUP(AG$1,dataRowRange,ActualDataRange))</f>
        <v>Atlanta</v>
      </c>
      <c r="AH8" s="31" t="str" cm="1">
        <f t="array" ref="AH8">_xlfn.XLOOKUP($A8,DataColumnRange,_xlfn.XLOOKUP(AH$1,dataRowRange,ActualDataRange))</f>
        <v>Georgia</v>
      </c>
      <c r="AI8" s="31" cm="1">
        <f t="array" ref="AI8">_xlfn.XLOOKUP($A8,DataColumnRange,_xlfn.XLOOKUP(AI$1,dataRowRange,ActualDataRange))</f>
        <v>55055</v>
      </c>
      <c r="AJ8" s="31" t="str" cm="1">
        <f t="array" ref="AJ8">_xlfn.XLOOKUP($A8,DataColumnRange,_xlfn.XLOOKUP(AJ$1,dataRowRange,ActualDataRange))</f>
        <v>171276181</v>
      </c>
      <c r="AK8" s="31" t="str" cm="1">
        <f t="array" ref="AK8">_xlfn.XLOOKUP($A8,DataColumnRange,_xlfn.XLOOKUP(AK$1,dataRowRange,ActualDataRange))</f>
        <v>International</v>
      </c>
      <c r="AL8" s="31" cm="1">
        <f t="array" ref="AL8">_xlfn.XLOOKUP($A8,DataColumnRange,_xlfn.XLOOKUP(AL$1,dataRowRange,ActualDataRange))</f>
        <v>0</v>
      </c>
    </row>
    <row r="9" spans="1:38" ht="17" thickBot="1">
      <c r="A9" s="66" t="s">
        <v>291</v>
      </c>
      <c r="B9" s="43" t="s">
        <v>44</v>
      </c>
      <c r="C9" s="32" t="s">
        <v>178</v>
      </c>
      <c r="D9" s="40" t="str">
        <f>IF(TestCaseConfig!$B$2="Yes","Yes","No")</f>
        <v>Yes</v>
      </c>
      <c r="E9" s="31" t="str" cm="1">
        <f t="array" ref="E9">_xlfn.XLOOKUP($A9,DataColumnRange,_xlfn.XLOOKUP(E$1,dataRowRange,ActualDataRange))</f>
        <v>sumit.choudhary@delta.com</v>
      </c>
      <c r="F9" s="31" t="str" cm="1">
        <f t="array" ref="F9">_xlfn.XLOOKUP($A9,DataColumnRange,_xlfn.XLOOKUP(F$1,dataRowRange,ActualDataRange))</f>
        <v>Delta2</v>
      </c>
      <c r="G9" s="31" t="b" cm="1">
        <f t="array" ref="G9">_xlfn.XLOOKUP($A9,DataColumnRange,_xlfn.XLOOKUP(G$1,dataRowRange,ActualDataRange))</f>
        <v>1</v>
      </c>
      <c r="H9" s="31" t="str" cm="1">
        <f t="array" ref="H9">_xlfn.XLOOKUP($A9,DataColumnRange,_xlfn.XLOOKUP(H$1,dataRowRange,ActualDataRange))</f>
        <v>NA</v>
      </c>
      <c r="I9" s="31" t="str" cm="1">
        <f t="array" ref="I9">_xlfn.XLOOKUP($A9,DataColumnRange,_xlfn.XLOOKUP(I$1,dataRowRange,ActualDataRange))</f>
        <v>ATL</v>
      </c>
      <c r="J9" s="31" t="str" cm="1">
        <f t="array" ref="J9">_xlfn.XLOOKUP($A9,DataColumnRange,_xlfn.XLOOKUP(J$1,dataRowRange,ActualDataRange))</f>
        <v>CDG</v>
      </c>
      <c r="K9" s="31" t="str" cm="1">
        <f t="array" ref="K9">_xlfn.XLOOKUP($A9,DataColumnRange,_xlfn.XLOOKUP(K$1,dataRowRange,ActualDataRange))</f>
        <v>Medical shipment for transplant – Live Human Organ</v>
      </c>
      <c r="L9" s="31" t="str" cm="1">
        <f t="array" ref="L9">_xlfn.XLOOKUP($A9,DataColumnRange,_xlfn.XLOOKUP(L$1,dataRowRange,ActualDataRange))</f>
        <v>Test Medical</v>
      </c>
      <c r="M9" s="31" cm="1">
        <f t="array" ref="M9">_xlfn.XLOOKUP($A9,DataColumnRange,_xlfn.XLOOKUP(M$1,dataRowRange,ActualDataRange))</f>
        <v>65</v>
      </c>
      <c r="N9" s="31" t="str" cm="1">
        <f t="array" ref="N9">_xlfn.XLOOKUP($A9,DataColumnRange,_xlfn.XLOOKUP(N$1,dataRowRange,ActualDataRange))</f>
        <v>LB</v>
      </c>
      <c r="O9" s="31" cm="1">
        <f t="array" ref="O9">_xlfn.XLOOKUP($A9,DataColumnRange,_xlfn.XLOOKUP(O$1,dataRowRange,ActualDataRange))</f>
        <v>1</v>
      </c>
      <c r="P9" s="31" cm="1">
        <f t="array" ref="P9">_xlfn.XLOOKUP($A9,DataColumnRange,_xlfn.XLOOKUP(P$1,dataRowRange,ActualDataRange))</f>
        <v>10</v>
      </c>
      <c r="Q9" s="31" cm="1">
        <f t="array" ref="Q9">_xlfn.XLOOKUP($A9,DataColumnRange,_xlfn.XLOOKUP(Q$1,dataRowRange,ActualDataRange))</f>
        <v>10</v>
      </c>
      <c r="R9" s="31" cm="1">
        <f t="array" ref="R9">_xlfn.XLOOKUP($A9,DataColumnRange,_xlfn.XLOOKUP(R$1,dataRowRange,ActualDataRange))</f>
        <v>10</v>
      </c>
      <c r="S9" s="31" t="str" cm="1">
        <f t="array" ref="S9">_xlfn.XLOOKUP($A9,DataColumnRange,_xlfn.XLOOKUP(S$1,dataRowRange,ActualDataRange))</f>
        <v>IN</v>
      </c>
      <c r="T9" s="31" t="str" cm="1">
        <f t="array" ref="T9">_xlfn.XLOOKUP($A9,DataColumnRange,_xlfn.XLOOKUP(T$1,dataRowRange,ActualDataRange))</f>
        <v>Meters Cubed</v>
      </c>
      <c r="U9" s="31" t="str" cm="1">
        <f t="array" ref="U9">_xlfn.XLOOKUP($A9,DataColumnRange,_xlfn.XLOOKUP(U$1,dataRowRange,ActualDataRange))</f>
        <v>No</v>
      </c>
      <c r="V9" s="31" t="str" cm="1">
        <f t="array" ref="V9">_xlfn.XLOOKUP($A9,DataColumnRange,_xlfn.XLOOKUP(V$1,dataRowRange,ActualDataRange))</f>
        <v>No</v>
      </c>
      <c r="W9" s="31" t="str" cm="1">
        <f t="array" ref="W9">_xlfn.XLOOKUP($A9,DataColumnRange,_xlfn.XLOOKUP(W$1,dataRowRange,ActualDataRange))</f>
        <v>No</v>
      </c>
      <c r="X9" s="31" cm="1">
        <f t="array" ref="X9">_xlfn.XLOOKUP($A9,DataColumnRange,_xlfn.XLOOKUP(X$1,dataRowRange,ActualDataRange))</f>
        <v>6</v>
      </c>
      <c r="Y9" s="31" t="str" cm="1">
        <f t="array" ref="Y9">_xlfn.XLOOKUP($A9,DataColumnRange,_xlfn.XLOOKUP(Y$1,dataRowRange,ActualDataRange))</f>
        <v>No</v>
      </c>
      <c r="Z9" s="31" t="str" cm="1">
        <f t="array" ref="Z9">_xlfn.XLOOKUP($A9,DataColumnRange,_xlfn.XLOOKUP(Z$1,dataRowRange,ActualDataRange))</f>
        <v>NA</v>
      </c>
      <c r="AA9" s="31" t="str" cm="1">
        <f t="array" ref="AA9">_xlfn.XLOOKUP($A9,DataColumnRange,_xlfn.XLOOKUP(AA$1,dataRowRange,ActualDataRange))</f>
        <v>000260018</v>
      </c>
      <c r="AB9" s="31" t="str" cm="1">
        <f t="array" ref="AB9">_xlfn.XLOOKUP($A9,DataColumnRange,_xlfn.XLOOKUP(AB$1,dataRowRange,ActualDataRange))</f>
        <v>GeneralCargoTemplate</v>
      </c>
      <c r="AC9" s="31" t="str" cm="1">
        <f t="array" ref="AC9">_xlfn.XLOOKUP($A9,DataColumnRange,_xlfn.XLOOKUP(AC$1,dataRowRange,ActualDataRange))</f>
        <v>CreditCard</v>
      </c>
      <c r="AD9" s="31" t="str" cm="1">
        <f t="array" ref="AD9">_xlfn.XLOOKUP($A9,DataColumnRange,_xlfn.XLOOKUP(AD$1,dataRowRange,ActualDataRange))</f>
        <v>NA</v>
      </c>
      <c r="AE9" s="31" t="str" cm="1">
        <f t="array" ref="AE9">_xlfn.XLOOKUP($A9,DataColumnRange,_xlfn.XLOOKUP(AE$1,dataRowRange,ActualDataRange))</f>
        <v>Test1</v>
      </c>
      <c r="AF9" s="31" t="str" cm="1">
        <f t="array" ref="AF9">_xlfn.XLOOKUP($A9,DataColumnRange,_xlfn.XLOOKUP(AF$1,dataRowRange,ActualDataRange))</f>
        <v>Test2</v>
      </c>
      <c r="AG9" s="31" t="str" cm="1">
        <f t="array" ref="AG9">_xlfn.XLOOKUP($A9,DataColumnRange,_xlfn.XLOOKUP(AG$1,dataRowRange,ActualDataRange))</f>
        <v>Atlanta</v>
      </c>
      <c r="AH9" s="31" t="str" cm="1">
        <f t="array" ref="AH9">_xlfn.XLOOKUP($A9,DataColumnRange,_xlfn.XLOOKUP(AH$1,dataRowRange,ActualDataRange))</f>
        <v>Georgia</v>
      </c>
      <c r="AI9" s="31" cm="1">
        <f t="array" ref="AI9">_xlfn.XLOOKUP($A9,DataColumnRange,_xlfn.XLOOKUP(AI$1,dataRowRange,ActualDataRange))</f>
        <v>55055</v>
      </c>
      <c r="AJ9" s="31" t="str" cm="1">
        <f t="array" ref="AJ9">_xlfn.XLOOKUP($A9,DataColumnRange,_xlfn.XLOOKUP(AJ$1,dataRowRange,ActualDataRange))</f>
        <v>171276181</v>
      </c>
      <c r="AK9" s="31" t="str" cm="1">
        <f t="array" ref="AK9">_xlfn.XLOOKUP($A9,DataColumnRange,_xlfn.XLOOKUP(AK$1,dataRowRange,ActualDataRange))</f>
        <v>International</v>
      </c>
      <c r="AL9" s="31" cm="1">
        <f t="array" ref="AL9">_xlfn.XLOOKUP($A9,DataColumnRange,_xlfn.XLOOKUP(AL$1,dataRowRange,ActualDataRange))</f>
        <v>0</v>
      </c>
    </row>
    <row r="10" spans="1:38" ht="17" thickBot="1">
      <c r="A10" s="66" t="s">
        <v>292</v>
      </c>
      <c r="B10" s="43" t="s">
        <v>44</v>
      </c>
      <c r="C10" s="32" t="s">
        <v>179</v>
      </c>
      <c r="D10" s="40" t="str">
        <f>IF(TestCaseConfig!$B$2="Yes","Yes","No")</f>
        <v>Yes</v>
      </c>
      <c r="E10" s="31" t="str" cm="1">
        <f t="array" ref="E10">_xlfn.XLOOKUP($A10,DataColumnRange,_xlfn.XLOOKUP(E$1,dataRowRange,ActualDataRange))</f>
        <v>sumit.choudhary@delta.com</v>
      </c>
      <c r="F10" s="31" t="str" cm="1">
        <f t="array" ref="F10">_xlfn.XLOOKUP($A10,DataColumnRange,_xlfn.XLOOKUP(F$1,dataRowRange,ActualDataRange))</f>
        <v>Delta2</v>
      </c>
      <c r="G10" s="31" t="b" cm="1">
        <f t="array" ref="G10">_xlfn.XLOOKUP($A10,DataColumnRange,_xlfn.XLOOKUP(G$1,dataRowRange,ActualDataRange))</f>
        <v>1</v>
      </c>
      <c r="H10" s="31" t="str" cm="1">
        <f t="array" ref="H10">_xlfn.XLOOKUP($A10,DataColumnRange,_xlfn.XLOOKUP(H$1,dataRowRange,ActualDataRange))</f>
        <v>NA</v>
      </c>
      <c r="I10" s="31" t="str" cm="1">
        <f t="array" ref="I10">_xlfn.XLOOKUP($A10,DataColumnRange,_xlfn.XLOOKUP(I$1,dataRowRange,ActualDataRange))</f>
        <v>ATL</v>
      </c>
      <c r="J10" s="31" t="str" cm="1">
        <f t="array" ref="J10">_xlfn.XLOOKUP($A10,DataColumnRange,_xlfn.XLOOKUP(J$1,dataRowRange,ActualDataRange))</f>
        <v>LHR</v>
      </c>
      <c r="K10" s="31" t="str" cm="1">
        <f t="array" ref="K10">_xlfn.XLOOKUP($A10,DataColumnRange,_xlfn.XLOOKUP(K$1,dataRowRange,ActualDataRange))</f>
        <v>Life-saving drugs and medication or cord-blood</v>
      </c>
      <c r="L10" s="31" t="str" cm="1">
        <f t="array" ref="L10">_xlfn.XLOOKUP($A10,DataColumnRange,_xlfn.XLOOKUP(L$1,dataRowRange,ActualDataRange))</f>
        <v>Test Medical</v>
      </c>
      <c r="M10" s="31" cm="1">
        <f t="array" ref="M10">_xlfn.XLOOKUP($A10,DataColumnRange,_xlfn.XLOOKUP(M$1,dataRowRange,ActualDataRange))</f>
        <v>75</v>
      </c>
      <c r="N10" s="31" t="str" cm="1">
        <f t="array" ref="N10">_xlfn.XLOOKUP($A10,DataColumnRange,_xlfn.XLOOKUP(N$1,dataRowRange,ActualDataRange))</f>
        <v>KG</v>
      </c>
      <c r="O10" s="31" cm="1">
        <f t="array" ref="O10">_xlfn.XLOOKUP($A10,DataColumnRange,_xlfn.XLOOKUP(O$1,dataRowRange,ActualDataRange))</f>
        <v>1</v>
      </c>
      <c r="P10" s="31" cm="1">
        <f t="array" ref="P10">_xlfn.XLOOKUP($A10,DataColumnRange,_xlfn.XLOOKUP(P$1,dataRowRange,ActualDataRange))</f>
        <v>10</v>
      </c>
      <c r="Q10" s="31" cm="1">
        <f t="array" ref="Q10">_xlfn.XLOOKUP($A10,DataColumnRange,_xlfn.XLOOKUP(Q$1,dataRowRange,ActualDataRange))</f>
        <v>10</v>
      </c>
      <c r="R10" s="31" cm="1">
        <f t="array" ref="R10">_xlfn.XLOOKUP($A10,DataColumnRange,_xlfn.XLOOKUP(R$1,dataRowRange,ActualDataRange))</f>
        <v>10</v>
      </c>
      <c r="S10" s="31" t="str" cm="1">
        <f t="array" ref="S10">_xlfn.XLOOKUP($A10,DataColumnRange,_xlfn.XLOOKUP(S$1,dataRowRange,ActualDataRange))</f>
        <v>CM</v>
      </c>
      <c r="T10" s="31" t="str" cm="1">
        <f t="array" ref="T10">_xlfn.XLOOKUP($A10,DataColumnRange,_xlfn.XLOOKUP(T$1,dataRowRange,ActualDataRange))</f>
        <v>Cubic Feet</v>
      </c>
      <c r="U10" s="31" t="str" cm="1">
        <f t="array" ref="U10">_xlfn.XLOOKUP($A10,DataColumnRange,_xlfn.XLOOKUP(U$1,dataRowRange,ActualDataRange))</f>
        <v>No</v>
      </c>
      <c r="V10" s="31" t="str" cm="1">
        <f t="array" ref="V10">_xlfn.XLOOKUP($A10,DataColumnRange,_xlfn.XLOOKUP(V$1,dataRowRange,ActualDataRange))</f>
        <v>No</v>
      </c>
      <c r="W10" s="31" t="str" cm="1">
        <f t="array" ref="W10">_xlfn.XLOOKUP($A10,DataColumnRange,_xlfn.XLOOKUP(W$1,dataRowRange,ActualDataRange))</f>
        <v>No</v>
      </c>
      <c r="X10" s="31" cm="1">
        <f t="array" ref="X10">_xlfn.XLOOKUP($A10,DataColumnRange,_xlfn.XLOOKUP(X$1,dataRowRange,ActualDataRange))</f>
        <v>6</v>
      </c>
      <c r="Y10" s="31" t="str" cm="1">
        <f t="array" ref="Y10">_xlfn.XLOOKUP($A10,DataColumnRange,_xlfn.XLOOKUP(Y$1,dataRowRange,ActualDataRange))</f>
        <v>No</v>
      </c>
      <c r="Z10" s="31" t="str" cm="1">
        <f t="array" ref="Z10">_xlfn.XLOOKUP($A10,DataColumnRange,_xlfn.XLOOKUP(Z$1,dataRowRange,ActualDataRange))</f>
        <v>NA</v>
      </c>
      <c r="AA10" s="31" t="str" cm="1">
        <f t="array" ref="AA10">_xlfn.XLOOKUP($A10,DataColumnRange,_xlfn.XLOOKUP(AA$1,dataRowRange,ActualDataRange))</f>
        <v>000260018</v>
      </c>
      <c r="AB10" s="31" t="str" cm="1">
        <f t="array" ref="AB10">_xlfn.XLOOKUP($A10,DataColumnRange,_xlfn.XLOOKUP(AB$1,dataRowRange,ActualDataRange))</f>
        <v>GeneralCargoTemplate</v>
      </c>
      <c r="AC10" s="31" t="str" cm="1">
        <f t="array" ref="AC10">_xlfn.XLOOKUP($A10,DataColumnRange,_xlfn.XLOOKUP(AC$1,dataRowRange,ActualDataRange))</f>
        <v>CreditCard</v>
      </c>
      <c r="AD10" s="31" t="str" cm="1">
        <f t="array" ref="AD10">_xlfn.XLOOKUP($A10,DataColumnRange,_xlfn.XLOOKUP(AD$1,dataRowRange,ActualDataRange))</f>
        <v>NA</v>
      </c>
      <c r="AE10" s="31" t="str" cm="1">
        <f t="array" ref="AE10">_xlfn.XLOOKUP($A10,DataColumnRange,_xlfn.XLOOKUP(AE$1,dataRowRange,ActualDataRange))</f>
        <v>Test1</v>
      </c>
      <c r="AF10" s="31" t="str" cm="1">
        <f t="array" ref="AF10">_xlfn.XLOOKUP($A10,DataColumnRange,_xlfn.XLOOKUP(AF$1,dataRowRange,ActualDataRange))</f>
        <v>Test2</v>
      </c>
      <c r="AG10" s="31" t="str" cm="1">
        <f t="array" ref="AG10">_xlfn.XLOOKUP($A10,DataColumnRange,_xlfn.XLOOKUP(AG$1,dataRowRange,ActualDataRange))</f>
        <v>Atlanta</v>
      </c>
      <c r="AH10" s="31" t="str" cm="1">
        <f t="array" ref="AH10">_xlfn.XLOOKUP($A10,DataColumnRange,_xlfn.XLOOKUP(AH$1,dataRowRange,ActualDataRange))</f>
        <v>Georgia</v>
      </c>
      <c r="AI10" s="31" cm="1">
        <f t="array" ref="AI10">_xlfn.XLOOKUP($A10,DataColumnRange,_xlfn.XLOOKUP(AI$1,dataRowRange,ActualDataRange))</f>
        <v>55055</v>
      </c>
      <c r="AJ10" s="31" t="str" cm="1">
        <f t="array" ref="AJ10">_xlfn.XLOOKUP($A10,DataColumnRange,_xlfn.XLOOKUP(AJ$1,dataRowRange,ActualDataRange))</f>
        <v>171276181</v>
      </c>
      <c r="AK10" s="31" t="str" cm="1">
        <f t="array" ref="AK10">_xlfn.XLOOKUP($A10,DataColumnRange,_xlfn.XLOOKUP(AK$1,dataRowRange,ActualDataRange))</f>
        <v>International</v>
      </c>
      <c r="AL10" s="31" cm="1">
        <f t="array" ref="AL10">_xlfn.XLOOKUP($A10,DataColumnRange,_xlfn.XLOOKUP(AL$1,dataRowRange,ActualDataRange))</f>
        <v>0</v>
      </c>
    </row>
    <row r="11" spans="1:38" ht="17" thickBot="1">
      <c r="A11" s="66" t="s">
        <v>293</v>
      </c>
      <c r="B11" s="43" t="s">
        <v>44</v>
      </c>
      <c r="C11" s="32" t="s">
        <v>180</v>
      </c>
      <c r="D11" s="40" t="str">
        <f>IF(TestCaseConfig!$B$2="Yes","Yes","No")</f>
        <v>Yes</v>
      </c>
      <c r="E11" s="31" t="str" cm="1">
        <f t="array" ref="E11">_xlfn.XLOOKUP($A11,DataColumnRange,_xlfn.XLOOKUP(E$1,dataRowRange,ActualDataRange))</f>
        <v>sumit.choudhary@delta.com</v>
      </c>
      <c r="F11" s="31" t="str" cm="1">
        <f t="array" ref="F11">_xlfn.XLOOKUP($A11,DataColumnRange,_xlfn.XLOOKUP(F$1,dataRowRange,ActualDataRange))</f>
        <v>Delta2</v>
      </c>
      <c r="G11" s="31" t="b" cm="1">
        <f t="array" ref="G11">_xlfn.XLOOKUP($A11,DataColumnRange,_xlfn.XLOOKUP(G$1,dataRowRange,ActualDataRange))</f>
        <v>1</v>
      </c>
      <c r="H11" s="31" t="str" cm="1">
        <f t="array" ref="H11">_xlfn.XLOOKUP($A11,DataColumnRange,_xlfn.XLOOKUP(H$1,dataRowRange,ActualDataRange))</f>
        <v>NA</v>
      </c>
      <c r="I11" s="31" t="str" cm="1">
        <f t="array" ref="I11">_xlfn.XLOOKUP($A11,DataColumnRange,_xlfn.XLOOKUP(I$1,dataRowRange,ActualDataRange))</f>
        <v>ATL</v>
      </c>
      <c r="J11" s="31" t="str" cm="1">
        <f t="array" ref="J11">_xlfn.XLOOKUP($A11,DataColumnRange,_xlfn.XLOOKUP(J$1,dataRowRange,ActualDataRange))</f>
        <v>CDG</v>
      </c>
      <c r="K11" s="31" t="str" cm="1">
        <f t="array" ref="K11">_xlfn.XLOOKUP($A11,DataColumnRange,_xlfn.XLOOKUP(K$1,dataRowRange,ActualDataRange))</f>
        <v>Medical shipment for transplant – Other</v>
      </c>
      <c r="L11" s="31" t="str" cm="1">
        <f t="array" ref="L11">_xlfn.XLOOKUP($A11,DataColumnRange,_xlfn.XLOOKUP(L$1,dataRowRange,ActualDataRange))</f>
        <v>Test Medical</v>
      </c>
      <c r="M11" s="31" cm="1">
        <f t="array" ref="M11">_xlfn.XLOOKUP($A11,DataColumnRange,_xlfn.XLOOKUP(M$1,dataRowRange,ActualDataRange))</f>
        <v>85</v>
      </c>
      <c r="N11" s="31" t="str" cm="1">
        <f t="array" ref="N11">_xlfn.XLOOKUP($A11,DataColumnRange,_xlfn.XLOOKUP(N$1,dataRowRange,ActualDataRange))</f>
        <v>LB</v>
      </c>
      <c r="O11" s="31" cm="1">
        <f t="array" ref="O11">_xlfn.XLOOKUP($A11,DataColumnRange,_xlfn.XLOOKUP(O$1,dataRowRange,ActualDataRange))</f>
        <v>1</v>
      </c>
      <c r="P11" s="31" cm="1">
        <f t="array" ref="P11">_xlfn.XLOOKUP($A11,DataColumnRange,_xlfn.XLOOKUP(P$1,dataRowRange,ActualDataRange))</f>
        <v>10</v>
      </c>
      <c r="Q11" s="31" cm="1">
        <f t="array" ref="Q11">_xlfn.XLOOKUP($A11,DataColumnRange,_xlfn.XLOOKUP(Q$1,dataRowRange,ActualDataRange))</f>
        <v>10</v>
      </c>
      <c r="R11" s="31" cm="1">
        <f t="array" ref="R11">_xlfn.XLOOKUP($A11,DataColumnRange,_xlfn.XLOOKUP(R$1,dataRowRange,ActualDataRange))</f>
        <v>10</v>
      </c>
      <c r="S11" s="31" t="str" cm="1">
        <f t="array" ref="S11">_xlfn.XLOOKUP($A11,DataColumnRange,_xlfn.XLOOKUP(S$1,dataRowRange,ActualDataRange))</f>
        <v>IN</v>
      </c>
      <c r="T11" s="31" t="str" cm="1">
        <f t="array" ref="T11">_xlfn.XLOOKUP($A11,DataColumnRange,_xlfn.XLOOKUP(T$1,dataRowRange,ActualDataRange))</f>
        <v>Meters Cubed</v>
      </c>
      <c r="U11" s="31" t="str" cm="1">
        <f t="array" ref="U11">_xlfn.XLOOKUP($A11,DataColumnRange,_xlfn.XLOOKUP(U$1,dataRowRange,ActualDataRange))</f>
        <v>No</v>
      </c>
      <c r="V11" s="31" t="str" cm="1">
        <f t="array" ref="V11">_xlfn.XLOOKUP($A11,DataColumnRange,_xlfn.XLOOKUP(V$1,dataRowRange,ActualDataRange))</f>
        <v>No</v>
      </c>
      <c r="W11" s="31" t="str" cm="1">
        <f t="array" ref="W11">_xlfn.XLOOKUP($A11,DataColumnRange,_xlfn.XLOOKUP(W$1,dataRowRange,ActualDataRange))</f>
        <v>No</v>
      </c>
      <c r="X11" s="31" cm="1">
        <f t="array" ref="X11">_xlfn.XLOOKUP($A11,DataColumnRange,_xlfn.XLOOKUP(X$1,dataRowRange,ActualDataRange))</f>
        <v>6</v>
      </c>
      <c r="Y11" s="31" t="str" cm="1">
        <f t="array" ref="Y11">_xlfn.XLOOKUP($A11,DataColumnRange,_xlfn.XLOOKUP(Y$1,dataRowRange,ActualDataRange))</f>
        <v>No</v>
      </c>
      <c r="Z11" s="31" t="str" cm="1">
        <f t="array" ref="Z11">_xlfn.XLOOKUP($A11,DataColumnRange,_xlfn.XLOOKUP(Z$1,dataRowRange,ActualDataRange))</f>
        <v>NA</v>
      </c>
      <c r="AA11" s="31" t="str" cm="1">
        <f t="array" ref="AA11">_xlfn.XLOOKUP($A11,DataColumnRange,_xlfn.XLOOKUP(AA$1,dataRowRange,ActualDataRange))</f>
        <v>000260018</v>
      </c>
      <c r="AB11" s="31" t="str" cm="1">
        <f t="array" ref="AB11">_xlfn.XLOOKUP($A11,DataColumnRange,_xlfn.XLOOKUP(AB$1,dataRowRange,ActualDataRange))</f>
        <v>GeneralCargoTemplate</v>
      </c>
      <c r="AC11" s="31" t="str" cm="1">
        <f t="array" ref="AC11">_xlfn.XLOOKUP($A11,DataColumnRange,_xlfn.XLOOKUP(AC$1,dataRowRange,ActualDataRange))</f>
        <v>CreditCard</v>
      </c>
      <c r="AD11" s="31" t="str" cm="1">
        <f t="array" ref="AD11">_xlfn.XLOOKUP($A11,DataColumnRange,_xlfn.XLOOKUP(AD$1,dataRowRange,ActualDataRange))</f>
        <v>NA</v>
      </c>
      <c r="AE11" s="31" t="str" cm="1">
        <f t="array" ref="AE11">_xlfn.XLOOKUP($A11,DataColumnRange,_xlfn.XLOOKUP(AE$1,dataRowRange,ActualDataRange))</f>
        <v>Test1</v>
      </c>
      <c r="AF11" s="31" t="str" cm="1">
        <f t="array" ref="AF11">_xlfn.XLOOKUP($A11,DataColumnRange,_xlfn.XLOOKUP(AF$1,dataRowRange,ActualDataRange))</f>
        <v>Test2</v>
      </c>
      <c r="AG11" s="31" t="str" cm="1">
        <f t="array" ref="AG11">_xlfn.XLOOKUP($A11,DataColumnRange,_xlfn.XLOOKUP(AG$1,dataRowRange,ActualDataRange))</f>
        <v>Atlanta</v>
      </c>
      <c r="AH11" s="31" t="str" cm="1">
        <f t="array" ref="AH11">_xlfn.XLOOKUP($A11,DataColumnRange,_xlfn.XLOOKUP(AH$1,dataRowRange,ActualDataRange))</f>
        <v>Georgia</v>
      </c>
      <c r="AI11" s="31" cm="1">
        <f t="array" ref="AI11">_xlfn.XLOOKUP($A11,DataColumnRange,_xlfn.XLOOKUP(AI$1,dataRowRange,ActualDataRange))</f>
        <v>55055</v>
      </c>
      <c r="AJ11" s="31" t="str" cm="1">
        <f t="array" ref="AJ11">_xlfn.XLOOKUP($A11,DataColumnRange,_xlfn.XLOOKUP(AJ$1,dataRowRange,ActualDataRange))</f>
        <v>171276181</v>
      </c>
      <c r="AK11" s="31" t="str" cm="1">
        <f t="array" ref="AK11">_xlfn.XLOOKUP($A11,DataColumnRange,_xlfn.XLOOKUP(AK$1,dataRowRange,ActualDataRange))</f>
        <v>International</v>
      </c>
      <c r="AL11" s="31" cm="1">
        <f t="array" ref="AL11">_xlfn.XLOOKUP($A11,DataColumnRange,_xlfn.XLOOKUP(AL$1,dataRowRange,ActualDataRange))</f>
        <v>0</v>
      </c>
    </row>
    <row r="12" spans="1:38" ht="17" thickBot="1">
      <c r="A12" s="66" t="s">
        <v>294</v>
      </c>
      <c r="B12" s="43" t="s">
        <v>44</v>
      </c>
      <c r="C12" s="32" t="s">
        <v>181</v>
      </c>
      <c r="D12" s="40" t="str">
        <f>IF(TestCaseConfig!$B$2="Yes","Yes","No")</f>
        <v>Yes</v>
      </c>
      <c r="E12" s="31" t="str" cm="1">
        <f t="array" ref="E12">_xlfn.XLOOKUP($A12,DataColumnRange,_xlfn.XLOOKUP(E$1,dataRowRange,ActualDataRange))</f>
        <v>sumit.choudhary@delta.com</v>
      </c>
      <c r="F12" s="31" t="str" cm="1">
        <f t="array" ref="F12">_xlfn.XLOOKUP($A12,DataColumnRange,_xlfn.XLOOKUP(F$1,dataRowRange,ActualDataRange))</f>
        <v>Delta2</v>
      </c>
      <c r="G12" s="31" t="b" cm="1">
        <f t="array" ref="G12">_xlfn.XLOOKUP($A12,DataColumnRange,_xlfn.XLOOKUP(G$1,dataRowRange,ActualDataRange))</f>
        <v>1</v>
      </c>
      <c r="H12" s="31" t="str" cm="1">
        <f t="array" ref="H12">_xlfn.XLOOKUP($A12,DataColumnRange,_xlfn.XLOOKUP(H$1,dataRowRange,ActualDataRange))</f>
        <v>NA</v>
      </c>
      <c r="I12" s="31" t="str" cm="1">
        <f t="array" ref="I12">_xlfn.XLOOKUP($A12,DataColumnRange,_xlfn.XLOOKUP(I$1,dataRowRange,ActualDataRange))</f>
        <v>ATL</v>
      </c>
      <c r="J12" s="31" t="str" cm="1">
        <f t="array" ref="J12">_xlfn.XLOOKUP($A12,DataColumnRange,_xlfn.XLOOKUP(J$1,dataRowRange,ActualDataRange))</f>
        <v>CDG</v>
      </c>
      <c r="K12" s="31" t="str" cm="1">
        <f t="array" ref="K12">_xlfn.XLOOKUP($A12,DataColumnRange,_xlfn.XLOOKUP(K$1,dataRowRange,ActualDataRange))</f>
        <v>Medical shipment not for transplant - Diagnostic Specimen</v>
      </c>
      <c r="L12" s="31" t="str" cm="1">
        <f t="array" ref="L12">_xlfn.XLOOKUP($A12,DataColumnRange,_xlfn.XLOOKUP(L$1,dataRowRange,ActualDataRange))</f>
        <v>Test Medical</v>
      </c>
      <c r="M12" s="31" cm="1">
        <f t="array" ref="M12">_xlfn.XLOOKUP($A12,DataColumnRange,_xlfn.XLOOKUP(M$1,dataRowRange,ActualDataRange))</f>
        <v>65</v>
      </c>
      <c r="N12" s="31" t="str" cm="1">
        <f t="array" ref="N12">_xlfn.XLOOKUP($A12,DataColumnRange,_xlfn.XLOOKUP(N$1,dataRowRange,ActualDataRange))</f>
        <v>KG</v>
      </c>
      <c r="O12" s="31" cm="1">
        <f t="array" ref="O12">_xlfn.XLOOKUP($A12,DataColumnRange,_xlfn.XLOOKUP(O$1,dataRowRange,ActualDataRange))</f>
        <v>1</v>
      </c>
      <c r="P12" s="31" cm="1">
        <f t="array" ref="P12">_xlfn.XLOOKUP($A12,DataColumnRange,_xlfn.XLOOKUP(P$1,dataRowRange,ActualDataRange))</f>
        <v>10</v>
      </c>
      <c r="Q12" s="31" cm="1">
        <f t="array" ref="Q12">_xlfn.XLOOKUP($A12,DataColumnRange,_xlfn.XLOOKUP(Q$1,dataRowRange,ActualDataRange))</f>
        <v>10</v>
      </c>
      <c r="R12" s="31" cm="1">
        <f t="array" ref="R12">_xlfn.XLOOKUP($A12,DataColumnRange,_xlfn.XLOOKUP(R$1,dataRowRange,ActualDataRange))</f>
        <v>10</v>
      </c>
      <c r="S12" s="31" t="str" cm="1">
        <f t="array" ref="S12">_xlfn.XLOOKUP($A12,DataColumnRange,_xlfn.XLOOKUP(S$1,dataRowRange,ActualDataRange))</f>
        <v>CM</v>
      </c>
      <c r="T12" s="31" t="str" cm="1">
        <f t="array" ref="T12">_xlfn.XLOOKUP($A12,DataColumnRange,_xlfn.XLOOKUP(T$1,dataRowRange,ActualDataRange))</f>
        <v>Cubic Feet</v>
      </c>
      <c r="U12" s="31" t="str" cm="1">
        <f t="array" ref="U12">_xlfn.XLOOKUP($A12,DataColumnRange,_xlfn.XLOOKUP(U$1,dataRowRange,ActualDataRange))</f>
        <v>No</v>
      </c>
      <c r="V12" s="31" t="str" cm="1">
        <f t="array" ref="V12">_xlfn.XLOOKUP($A12,DataColumnRange,_xlfn.XLOOKUP(V$1,dataRowRange,ActualDataRange))</f>
        <v>No</v>
      </c>
      <c r="W12" s="31" t="str" cm="1">
        <f t="array" ref="W12">_xlfn.XLOOKUP($A12,DataColumnRange,_xlfn.XLOOKUP(W$1,dataRowRange,ActualDataRange))</f>
        <v>No</v>
      </c>
      <c r="X12" s="31" cm="1">
        <f t="array" ref="X12">_xlfn.XLOOKUP($A12,DataColumnRange,_xlfn.XLOOKUP(X$1,dataRowRange,ActualDataRange))</f>
        <v>6</v>
      </c>
      <c r="Y12" s="31" t="str" cm="1">
        <f t="array" ref="Y12">_xlfn.XLOOKUP($A12,DataColumnRange,_xlfn.XLOOKUP(Y$1,dataRowRange,ActualDataRange))</f>
        <v>No</v>
      </c>
      <c r="Z12" s="31" t="str" cm="1">
        <f t="array" ref="Z12">_xlfn.XLOOKUP($A12,DataColumnRange,_xlfn.XLOOKUP(Z$1,dataRowRange,ActualDataRange))</f>
        <v>NA</v>
      </c>
      <c r="AA12" s="31" t="str" cm="1">
        <f t="array" ref="AA12">_xlfn.XLOOKUP($A12,DataColumnRange,_xlfn.XLOOKUP(AA$1,dataRowRange,ActualDataRange))</f>
        <v>000260018</v>
      </c>
      <c r="AB12" s="31" t="str" cm="1">
        <f t="array" ref="AB12">_xlfn.XLOOKUP($A12,DataColumnRange,_xlfn.XLOOKUP(AB$1,dataRowRange,ActualDataRange))</f>
        <v>GeneralCargoTemplate</v>
      </c>
      <c r="AC12" s="31" t="str" cm="1">
        <f t="array" ref="AC12">_xlfn.XLOOKUP($A12,DataColumnRange,_xlfn.XLOOKUP(AC$1,dataRowRange,ActualDataRange))</f>
        <v>CreditCard</v>
      </c>
      <c r="AD12" s="31" t="str" cm="1">
        <f t="array" ref="AD12">_xlfn.XLOOKUP($A12,DataColumnRange,_xlfn.XLOOKUP(AD$1,dataRowRange,ActualDataRange))</f>
        <v>NA</v>
      </c>
      <c r="AE12" s="31" t="str" cm="1">
        <f t="array" ref="AE12">_xlfn.XLOOKUP($A12,DataColumnRange,_xlfn.XLOOKUP(AE$1,dataRowRange,ActualDataRange))</f>
        <v>Test1</v>
      </c>
      <c r="AF12" s="31" t="str" cm="1">
        <f t="array" ref="AF12">_xlfn.XLOOKUP($A12,DataColumnRange,_xlfn.XLOOKUP(AF$1,dataRowRange,ActualDataRange))</f>
        <v>Test2</v>
      </c>
      <c r="AG12" s="31" t="str" cm="1">
        <f t="array" ref="AG12">_xlfn.XLOOKUP($A12,DataColumnRange,_xlfn.XLOOKUP(AG$1,dataRowRange,ActualDataRange))</f>
        <v>Atlanta</v>
      </c>
      <c r="AH12" s="31" t="str" cm="1">
        <f t="array" ref="AH12">_xlfn.XLOOKUP($A12,DataColumnRange,_xlfn.XLOOKUP(AH$1,dataRowRange,ActualDataRange))</f>
        <v>Georgia</v>
      </c>
      <c r="AI12" s="31" cm="1">
        <f t="array" ref="AI12">_xlfn.XLOOKUP($A12,DataColumnRange,_xlfn.XLOOKUP(AI$1,dataRowRange,ActualDataRange))</f>
        <v>55055</v>
      </c>
      <c r="AJ12" s="31" t="str" cm="1">
        <f t="array" ref="AJ12">_xlfn.XLOOKUP($A12,DataColumnRange,_xlfn.XLOOKUP(AJ$1,dataRowRange,ActualDataRange))</f>
        <v>171276181</v>
      </c>
      <c r="AK12" s="31" t="str" cm="1">
        <f t="array" ref="AK12">_xlfn.XLOOKUP($A12,DataColumnRange,_xlfn.XLOOKUP(AK$1,dataRowRange,ActualDataRange))</f>
        <v>International</v>
      </c>
      <c r="AL12" s="31" cm="1">
        <f t="array" ref="AL12">_xlfn.XLOOKUP($A12,DataColumnRange,_xlfn.XLOOKUP(AL$1,dataRowRange,ActualDataRange))</f>
        <v>0</v>
      </c>
    </row>
    <row r="13" spans="1:38" ht="17" thickBot="1">
      <c r="A13" s="66" t="s">
        <v>295</v>
      </c>
      <c r="B13" s="43" t="s">
        <v>44</v>
      </c>
      <c r="C13" s="32" t="s">
        <v>182</v>
      </c>
      <c r="D13" s="40" t="str">
        <f>IF(TestCaseConfig!$B$2="Yes","Yes","No")</f>
        <v>Yes</v>
      </c>
      <c r="E13" s="31" t="str" cm="1">
        <f t="array" ref="E13">_xlfn.XLOOKUP($A13,DataColumnRange,_xlfn.XLOOKUP(E$1,dataRowRange,ActualDataRange))</f>
        <v>sumit.choudhary@delta.com</v>
      </c>
      <c r="F13" s="31" t="str" cm="1">
        <f t="array" ref="F13">_xlfn.XLOOKUP($A13,DataColumnRange,_xlfn.XLOOKUP(F$1,dataRowRange,ActualDataRange))</f>
        <v>Delta2</v>
      </c>
      <c r="G13" s="31" t="b" cm="1">
        <f t="array" ref="G13">_xlfn.XLOOKUP($A13,DataColumnRange,_xlfn.XLOOKUP(G$1,dataRowRange,ActualDataRange))</f>
        <v>1</v>
      </c>
      <c r="H13" s="31" t="str" cm="1">
        <f t="array" ref="H13">_xlfn.XLOOKUP($A13,DataColumnRange,_xlfn.XLOOKUP(H$1,dataRowRange,ActualDataRange))</f>
        <v>NA</v>
      </c>
      <c r="I13" s="31" t="str" cm="1">
        <f t="array" ref="I13">_xlfn.XLOOKUP($A13,DataColumnRange,_xlfn.XLOOKUP(I$1,dataRowRange,ActualDataRange))</f>
        <v>ATL</v>
      </c>
      <c r="J13" s="31" t="str" cm="1">
        <f t="array" ref="J13">_xlfn.XLOOKUP($A13,DataColumnRange,_xlfn.XLOOKUP(J$1,dataRowRange,ActualDataRange))</f>
        <v>LHR</v>
      </c>
      <c r="K13" s="31" t="str" cm="1">
        <f t="array" ref="K13">_xlfn.XLOOKUP($A13,DataColumnRange,_xlfn.XLOOKUP(K$1,dataRowRange,ActualDataRange))</f>
        <v>Medical shipment not for transplant - Other</v>
      </c>
      <c r="L13" s="31" t="str" cm="1">
        <f t="array" ref="L13">_xlfn.XLOOKUP($A13,DataColumnRange,_xlfn.XLOOKUP(L$1,dataRowRange,ActualDataRange))</f>
        <v>Test Medical</v>
      </c>
      <c r="M13" s="31" cm="1">
        <f t="array" ref="M13">_xlfn.XLOOKUP($A13,DataColumnRange,_xlfn.XLOOKUP(M$1,dataRowRange,ActualDataRange))</f>
        <v>45</v>
      </c>
      <c r="N13" s="31" t="str" cm="1">
        <f t="array" ref="N13">_xlfn.XLOOKUP($A13,DataColumnRange,_xlfn.XLOOKUP(N$1,dataRowRange,ActualDataRange))</f>
        <v>LB</v>
      </c>
      <c r="O13" s="31" cm="1">
        <f t="array" ref="O13">_xlfn.XLOOKUP($A13,DataColumnRange,_xlfn.XLOOKUP(O$1,dataRowRange,ActualDataRange))</f>
        <v>1</v>
      </c>
      <c r="P13" s="31" cm="1">
        <f t="array" ref="P13">_xlfn.XLOOKUP($A13,DataColumnRange,_xlfn.XLOOKUP(P$1,dataRowRange,ActualDataRange))</f>
        <v>10</v>
      </c>
      <c r="Q13" s="31" cm="1">
        <f t="array" ref="Q13">_xlfn.XLOOKUP($A13,DataColumnRange,_xlfn.XLOOKUP(Q$1,dataRowRange,ActualDataRange))</f>
        <v>10</v>
      </c>
      <c r="R13" s="31" cm="1">
        <f t="array" ref="R13">_xlfn.XLOOKUP($A13,DataColumnRange,_xlfn.XLOOKUP(R$1,dataRowRange,ActualDataRange))</f>
        <v>10</v>
      </c>
      <c r="S13" s="31" t="str" cm="1">
        <f t="array" ref="S13">_xlfn.XLOOKUP($A13,DataColumnRange,_xlfn.XLOOKUP(S$1,dataRowRange,ActualDataRange))</f>
        <v>IN</v>
      </c>
      <c r="T13" s="31" t="str" cm="1">
        <f t="array" ref="T13">_xlfn.XLOOKUP($A13,DataColumnRange,_xlfn.XLOOKUP(T$1,dataRowRange,ActualDataRange))</f>
        <v>Meters Cubed</v>
      </c>
      <c r="U13" s="31" t="str" cm="1">
        <f t="array" ref="U13">_xlfn.XLOOKUP($A13,DataColumnRange,_xlfn.XLOOKUP(U$1,dataRowRange,ActualDataRange))</f>
        <v>No</v>
      </c>
      <c r="V13" s="31" t="str" cm="1">
        <f t="array" ref="V13">_xlfn.XLOOKUP($A13,DataColumnRange,_xlfn.XLOOKUP(V$1,dataRowRange,ActualDataRange))</f>
        <v>No</v>
      </c>
      <c r="W13" s="31" t="str" cm="1">
        <f t="array" ref="W13">_xlfn.XLOOKUP($A13,DataColumnRange,_xlfn.XLOOKUP(W$1,dataRowRange,ActualDataRange))</f>
        <v>No</v>
      </c>
      <c r="X13" s="31" cm="1">
        <f t="array" ref="X13">_xlfn.XLOOKUP($A13,DataColumnRange,_xlfn.XLOOKUP(X$1,dataRowRange,ActualDataRange))</f>
        <v>6</v>
      </c>
      <c r="Y13" s="31" t="str" cm="1">
        <f t="array" ref="Y13">_xlfn.XLOOKUP($A13,DataColumnRange,_xlfn.XLOOKUP(Y$1,dataRowRange,ActualDataRange))</f>
        <v>No</v>
      </c>
      <c r="Z13" s="31" t="str" cm="1">
        <f t="array" ref="Z13">_xlfn.XLOOKUP($A13,DataColumnRange,_xlfn.XLOOKUP(Z$1,dataRowRange,ActualDataRange))</f>
        <v>NA</v>
      </c>
      <c r="AA13" s="31" t="str" cm="1">
        <f t="array" ref="AA13">_xlfn.XLOOKUP($A13,DataColumnRange,_xlfn.XLOOKUP(AA$1,dataRowRange,ActualDataRange))</f>
        <v>000260018</v>
      </c>
      <c r="AB13" s="31" t="str" cm="1">
        <f t="array" ref="AB13">_xlfn.XLOOKUP($A13,DataColumnRange,_xlfn.XLOOKUP(AB$1,dataRowRange,ActualDataRange))</f>
        <v>GeneralCargoTemplate</v>
      </c>
      <c r="AC13" s="31" t="str" cm="1">
        <f t="array" ref="AC13">_xlfn.XLOOKUP($A13,DataColumnRange,_xlfn.XLOOKUP(AC$1,dataRowRange,ActualDataRange))</f>
        <v>CreditCard</v>
      </c>
      <c r="AD13" s="31" t="str" cm="1">
        <f t="array" ref="AD13">_xlfn.XLOOKUP($A13,DataColumnRange,_xlfn.XLOOKUP(AD$1,dataRowRange,ActualDataRange))</f>
        <v>NA</v>
      </c>
      <c r="AE13" s="31" t="str" cm="1">
        <f t="array" ref="AE13">_xlfn.XLOOKUP($A13,DataColumnRange,_xlfn.XLOOKUP(AE$1,dataRowRange,ActualDataRange))</f>
        <v>Test1</v>
      </c>
      <c r="AF13" s="31" t="str" cm="1">
        <f t="array" ref="AF13">_xlfn.XLOOKUP($A13,DataColumnRange,_xlfn.XLOOKUP(AF$1,dataRowRange,ActualDataRange))</f>
        <v>Test2</v>
      </c>
      <c r="AG13" s="31" t="str" cm="1">
        <f t="array" ref="AG13">_xlfn.XLOOKUP($A13,DataColumnRange,_xlfn.XLOOKUP(AG$1,dataRowRange,ActualDataRange))</f>
        <v>Atlanta</v>
      </c>
      <c r="AH13" s="31" t="str" cm="1">
        <f t="array" ref="AH13">_xlfn.XLOOKUP($A13,DataColumnRange,_xlfn.XLOOKUP(AH$1,dataRowRange,ActualDataRange))</f>
        <v>Georgia</v>
      </c>
      <c r="AI13" s="31" cm="1">
        <f t="array" ref="AI13">_xlfn.XLOOKUP($A13,DataColumnRange,_xlfn.XLOOKUP(AI$1,dataRowRange,ActualDataRange))</f>
        <v>55055</v>
      </c>
      <c r="AJ13" s="31" t="str" cm="1">
        <f t="array" ref="AJ13">_xlfn.XLOOKUP($A13,DataColumnRange,_xlfn.XLOOKUP(AJ$1,dataRowRange,ActualDataRange))</f>
        <v>171276181</v>
      </c>
      <c r="AK13" s="31" t="str" cm="1">
        <f t="array" ref="AK13">_xlfn.XLOOKUP($A13,DataColumnRange,_xlfn.XLOOKUP(AK$1,dataRowRange,ActualDataRange))</f>
        <v>International</v>
      </c>
      <c r="AL13" s="31" cm="1">
        <f t="array" ref="AL13">_xlfn.XLOOKUP($A13,DataColumnRange,_xlfn.XLOOKUP(AL$1,dataRowRange,ActualDataRange))</f>
        <v>0</v>
      </c>
    </row>
  </sheetData>
  <hyperlinks>
    <hyperlink ref="A1" location="TestCaseConfig!A1" display="TestCases" xr:uid="{886DEC0F-DED4-074F-B9C4-EBDFA14EFFF1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CA9E-5475-8E48-80D6-77CE99F7CA3D}">
  <dimension ref="A1:AM5"/>
  <sheetViews>
    <sheetView workbookViewId="0">
      <selection activeCell="E1" sqref="E1:E1048576"/>
    </sheetView>
  </sheetViews>
  <sheetFormatPr defaultColWidth="11" defaultRowHeight="15.5"/>
  <cols>
    <col min="1" max="1" width="114.58203125" bestFit="1" customWidth="1"/>
    <col min="3" max="3" width="22.5" bestFit="1" customWidth="1"/>
    <col min="5" max="6" width="14.58203125" bestFit="1" customWidth="1"/>
  </cols>
  <sheetData>
    <row r="1" spans="1:39" s="11" customFormat="1" ht="16" thickBot="1">
      <c r="A1" s="19" t="s">
        <v>118</v>
      </c>
      <c r="B1" s="20" t="s">
        <v>2</v>
      </c>
      <c r="C1" s="20" t="s">
        <v>24</v>
      </c>
      <c r="D1" s="20" t="s">
        <v>110</v>
      </c>
      <c r="E1" s="20" t="s">
        <v>210</v>
      </c>
      <c r="F1" s="20" t="s">
        <v>122</v>
      </c>
      <c r="G1" s="20" t="s">
        <v>123</v>
      </c>
      <c r="H1" s="21" t="s">
        <v>101</v>
      </c>
      <c r="I1" s="20" t="s">
        <v>32</v>
      </c>
      <c r="J1" s="20" t="s">
        <v>140</v>
      </c>
      <c r="K1" s="20" t="s">
        <v>141</v>
      </c>
      <c r="L1" s="20" t="s">
        <v>211</v>
      </c>
      <c r="M1" s="27" t="s">
        <v>196</v>
      </c>
      <c r="N1" s="25" t="s">
        <v>146</v>
      </c>
      <c r="O1" s="20" t="s">
        <v>144</v>
      </c>
      <c r="P1" s="27" t="s">
        <v>150</v>
      </c>
      <c r="Q1" s="20" t="s">
        <v>147</v>
      </c>
      <c r="R1" s="20" t="s">
        <v>148</v>
      </c>
      <c r="S1" s="26" t="s">
        <v>149</v>
      </c>
      <c r="T1" s="20" t="s">
        <v>151</v>
      </c>
      <c r="U1" s="20" t="s">
        <v>5</v>
      </c>
      <c r="V1" s="20" t="s">
        <v>6</v>
      </c>
      <c r="W1" s="20" t="s">
        <v>7</v>
      </c>
      <c r="X1" s="20" t="s">
        <v>8</v>
      </c>
      <c r="Y1" s="20" t="s">
        <v>10</v>
      </c>
      <c r="Z1" s="20" t="s">
        <v>56</v>
      </c>
      <c r="AA1" s="20" t="s">
        <v>59</v>
      </c>
      <c r="AB1" s="20" t="s">
        <v>11</v>
      </c>
      <c r="AC1" s="20" t="s">
        <v>12</v>
      </c>
      <c r="AD1" s="20" t="s">
        <v>13</v>
      </c>
      <c r="AE1" s="20" t="s">
        <v>40</v>
      </c>
      <c r="AF1" s="20" t="s">
        <v>153</v>
      </c>
      <c r="AG1" s="20" t="s">
        <v>154</v>
      </c>
      <c r="AH1" s="20" t="s">
        <v>155</v>
      </c>
      <c r="AI1" s="20" t="s">
        <v>156</v>
      </c>
      <c r="AJ1" s="25" t="s">
        <v>157</v>
      </c>
      <c r="AK1" s="20" t="s">
        <v>102</v>
      </c>
      <c r="AL1" s="20" t="s">
        <v>207</v>
      </c>
      <c r="AM1" s="20" t="s">
        <v>73</v>
      </c>
    </row>
    <row r="2" spans="1:39" ht="16" thickBot="1">
      <c r="A2" s="67" t="s">
        <v>296</v>
      </c>
      <c r="B2" s="42" t="s">
        <v>87</v>
      </c>
      <c r="C2" s="11" t="s">
        <v>185</v>
      </c>
      <c r="D2" s="40" t="str">
        <f>IF(TestCaseConfig!$B$2="Yes","Yes","No")</f>
        <v>Yes</v>
      </c>
      <c r="E2" s="31" t="str" cm="1">
        <f t="array" ref="E2">_xlfn.XLOOKUP($A2,DataColumnRange,_xlfn.XLOOKUP(E$1,dataRowRange,ActualDataRange))</f>
        <v>SAFE</v>
      </c>
      <c r="F2" s="31" t="str" cm="1">
        <f t="array" ref="F2">_xlfn.XLOOKUP($A2,DataColumnRange,_xlfn.XLOOKUP(F$1,dataRowRange,ActualDataRange))</f>
        <v>sumit.choudhary@delta.com</v>
      </c>
      <c r="G2" s="31" t="str" cm="1">
        <f t="array" ref="G2">_xlfn.XLOOKUP($A2,DataColumnRange,_xlfn.XLOOKUP(G$1,dataRowRange,ActualDataRange))</f>
        <v>Delta2</v>
      </c>
      <c r="H2" s="31" t="b" cm="1">
        <f t="array" ref="H2">_xlfn.XLOOKUP($A2,DataColumnRange,_xlfn.XLOOKUP(H$1,dataRowRange,ActualDataRange))</f>
        <v>1</v>
      </c>
      <c r="I2" s="31" t="str" cm="1">
        <f t="array" ref="I2">_xlfn.XLOOKUP($A2,DataColumnRange,_xlfn.XLOOKUP(I$1,dataRowRange,ActualDataRange))</f>
        <v>NA</v>
      </c>
      <c r="J2" s="31" t="str" cm="1">
        <f t="array" ref="J2">_xlfn.XLOOKUP($A2,DataColumnRange,_xlfn.XLOOKUP(J$1,dataRowRange,ActualDataRange))</f>
        <v>ATL</v>
      </c>
      <c r="K2" s="31" t="str" cm="1">
        <f t="array" ref="K2">_xlfn.XLOOKUP($A2,DataColumnRange,_xlfn.XLOOKUP(K$1,dataRowRange,ActualDataRange))</f>
        <v>MSP</v>
      </c>
      <c r="L2" s="31" t="str" cm="1">
        <f t="array" ref="L2">_xlfn.XLOOKUP($A2,DataColumnRange,_xlfn.XLOOKUP(L$1,dataRowRange,ActualDataRange))</f>
        <v>Value greater than 25,000 USD</v>
      </c>
      <c r="M2" s="31" t="str" cm="1">
        <f t="array" ref="M2">_xlfn.XLOOKUP($A2,DataColumnRange,_xlfn.XLOOKUP(M$1,dataRowRange,ActualDataRange))</f>
        <v>Test Valuables</v>
      </c>
      <c r="N2" s="31" cm="1">
        <f t="array" ref="N2">_xlfn.XLOOKUP($A2,DataColumnRange,_xlfn.XLOOKUP(N$1,dataRowRange,ActualDataRange))</f>
        <v>30</v>
      </c>
      <c r="O2" s="31" t="str" cm="1">
        <f t="array" ref="O2">_xlfn.XLOOKUP($A2,DataColumnRange,_xlfn.XLOOKUP(O$1,dataRowRange,ActualDataRange))</f>
        <v>KG</v>
      </c>
      <c r="P2" s="31" cm="1">
        <f t="array" ref="P2">_xlfn.XLOOKUP($A2,DataColumnRange,_xlfn.XLOOKUP(P$1,dataRowRange,ActualDataRange))</f>
        <v>2</v>
      </c>
      <c r="Q2" s="31" cm="1">
        <f t="array" ref="Q2">_xlfn.XLOOKUP($A2,DataColumnRange,_xlfn.XLOOKUP(Q$1,dataRowRange,ActualDataRange))</f>
        <v>10</v>
      </c>
      <c r="R2" s="31" cm="1">
        <f t="array" ref="R2">_xlfn.XLOOKUP($A2,DataColumnRange,_xlfn.XLOOKUP(R$1,dataRowRange,ActualDataRange))</f>
        <v>10</v>
      </c>
      <c r="S2" s="31" cm="1">
        <f t="array" ref="S2">_xlfn.XLOOKUP($A2,DataColumnRange,_xlfn.XLOOKUP(S$1,dataRowRange,ActualDataRange))</f>
        <v>10</v>
      </c>
      <c r="T2" s="31" t="str" cm="1">
        <f t="array" ref="T2">_xlfn.XLOOKUP($A2,DataColumnRange,_xlfn.XLOOKUP(T$1,dataRowRange,ActualDataRange))</f>
        <v>CM</v>
      </c>
      <c r="U2" s="31" t="str" cm="1">
        <f t="array" ref="U2">_xlfn.XLOOKUP($A2,DataColumnRange,_xlfn.XLOOKUP(U$1,dataRowRange,ActualDataRange))</f>
        <v>NA</v>
      </c>
      <c r="V2" s="31" t="str" cm="1">
        <f t="array" ref="V2">_xlfn.XLOOKUP($A2,DataColumnRange,_xlfn.XLOOKUP(V$1,dataRowRange,ActualDataRange))</f>
        <v>No</v>
      </c>
      <c r="W2" s="31" t="str" cm="1">
        <f t="array" ref="W2">_xlfn.XLOOKUP($A2,DataColumnRange,_xlfn.XLOOKUP(W$1,dataRowRange,ActualDataRange))</f>
        <v>No</v>
      </c>
      <c r="X2" s="31" t="str" cm="1">
        <f t="array" ref="X2">_xlfn.XLOOKUP($A2,DataColumnRange,_xlfn.XLOOKUP(X$1,dataRowRange,ActualDataRange))</f>
        <v>No</v>
      </c>
      <c r="Y2" s="31" cm="1">
        <f t="array" ref="Y2">_xlfn.XLOOKUP($A2,DataColumnRange,_xlfn.XLOOKUP(Y$1,dataRowRange,ActualDataRange))</f>
        <v>6</v>
      </c>
      <c r="Z2" s="31" t="str" cm="1">
        <f t="array" ref="Z2">_xlfn.XLOOKUP($A2,DataColumnRange,_xlfn.XLOOKUP(Z$1,dataRowRange,ActualDataRange))</f>
        <v>No</v>
      </c>
      <c r="AA2" s="31" t="str" cm="1">
        <f t="array" ref="AA2">_xlfn.XLOOKUP($A2,DataColumnRange,_xlfn.XLOOKUP(AA$1,dataRowRange,ActualDataRange))</f>
        <v>NA</v>
      </c>
      <c r="AB2" s="31" t="str" cm="1">
        <f t="array" ref="AB2">_xlfn.XLOOKUP($A2,DataColumnRange,_xlfn.XLOOKUP(AB$1,dataRowRange,ActualDataRange))</f>
        <v>000260018</v>
      </c>
      <c r="AC2" s="31" t="str" cm="1">
        <f t="array" ref="AC2">_xlfn.XLOOKUP($A2,DataColumnRange,_xlfn.XLOOKUP(AC$1,dataRowRange,ActualDataRange))</f>
        <v>GeneralCargoTemplate</v>
      </c>
      <c r="AD2" s="31" t="str" cm="1">
        <f t="array" ref="AD2">_xlfn.XLOOKUP($A2,DataColumnRange,_xlfn.XLOOKUP(AD$1,dataRowRange,ActualDataRange))</f>
        <v>CreditCard</v>
      </c>
      <c r="AE2" s="31" t="str" cm="1">
        <f t="array" ref="AE2">_xlfn.XLOOKUP($A2,DataColumnRange,_xlfn.XLOOKUP(AE$1,dataRowRange,ActualDataRange))</f>
        <v>NA</v>
      </c>
      <c r="AF2" s="31" t="str" cm="1">
        <f t="array" ref="AF2">_xlfn.XLOOKUP($A2,DataColumnRange,_xlfn.XLOOKUP(AF$1,dataRowRange,ActualDataRange))</f>
        <v>Test1</v>
      </c>
      <c r="AG2" s="31" t="str" cm="1">
        <f t="array" ref="AG2">_xlfn.XLOOKUP($A2,DataColumnRange,_xlfn.XLOOKUP(AG$1,dataRowRange,ActualDataRange))</f>
        <v>Test2</v>
      </c>
      <c r="AH2" s="31" t="str" cm="1">
        <f t="array" ref="AH2">_xlfn.XLOOKUP($A2,DataColumnRange,_xlfn.XLOOKUP(AH$1,dataRowRange,ActualDataRange))</f>
        <v>Atlanta</v>
      </c>
      <c r="AI2" s="31" t="str" cm="1">
        <f t="array" ref="AI2">_xlfn.XLOOKUP($A2,DataColumnRange,_xlfn.XLOOKUP(AI$1,dataRowRange,ActualDataRange))</f>
        <v>Georgia</v>
      </c>
      <c r="AJ2" s="31" cm="1">
        <f t="array" ref="AJ2">_xlfn.XLOOKUP($A2,DataColumnRange,_xlfn.XLOOKUP(AJ$1,dataRowRange,ActualDataRange))</f>
        <v>55055</v>
      </c>
      <c r="AK2" s="31" t="str" cm="1">
        <f t="array" ref="AK2">_xlfn.XLOOKUP($A2,DataColumnRange,_xlfn.XLOOKUP(AK$1,dataRowRange,ActualDataRange))</f>
        <v>000075010</v>
      </c>
      <c r="AL2" s="31" t="str" cm="1">
        <f t="array" ref="AL2">_xlfn.XLOOKUP($A2,DataColumnRange,_xlfn.XLOOKUP(AL$1,dataRowRange,ActualDataRange))</f>
        <v>Domestic</v>
      </c>
      <c r="AM2" s="31" cm="1">
        <f t="array" ref="AM2">_xlfn.XLOOKUP($A2,DataColumnRange,_xlfn.XLOOKUP(AM$1,dataRowRange,ActualDataRange))</f>
        <v>0</v>
      </c>
    </row>
    <row r="3" spans="1:39" ht="16" thickBot="1">
      <c r="A3" s="67" t="s">
        <v>297</v>
      </c>
      <c r="B3" s="43" t="s">
        <v>87</v>
      </c>
      <c r="C3" s="11" t="s">
        <v>185</v>
      </c>
      <c r="D3" s="40" t="str">
        <f>IF(TestCaseConfig!$B$2="Yes","Yes","No")</f>
        <v>Yes</v>
      </c>
      <c r="E3" s="31" t="str" cm="1">
        <f t="array" ref="E3">_xlfn.XLOOKUP($A3,DataColumnRange,_xlfn.XLOOKUP(E$1,dataRowRange,ActualDataRange))</f>
        <v>SAFE</v>
      </c>
      <c r="F3" s="31" t="str" cm="1">
        <f t="array" ref="F3">_xlfn.XLOOKUP($A3,DataColumnRange,_xlfn.XLOOKUP(F$1,dataRowRange,ActualDataRange))</f>
        <v>sumit.choudhary@delta.com</v>
      </c>
      <c r="G3" s="31" t="str" cm="1">
        <f t="array" ref="G3">_xlfn.XLOOKUP($A3,DataColumnRange,_xlfn.XLOOKUP(G$1,dataRowRange,ActualDataRange))</f>
        <v>Delta2</v>
      </c>
      <c r="H3" s="31" t="b" cm="1">
        <f t="array" ref="H3">_xlfn.XLOOKUP($A3,DataColumnRange,_xlfn.XLOOKUP(H$1,dataRowRange,ActualDataRange))</f>
        <v>1</v>
      </c>
      <c r="I3" s="31" t="str" cm="1">
        <f t="array" ref="I3">_xlfn.XLOOKUP($A3,DataColumnRange,_xlfn.XLOOKUP(I$1,dataRowRange,ActualDataRange))</f>
        <v>NA</v>
      </c>
      <c r="J3" s="31" t="str" cm="1">
        <f t="array" ref="J3">_xlfn.XLOOKUP($A3,DataColumnRange,_xlfn.XLOOKUP(J$1,dataRowRange,ActualDataRange))</f>
        <v>BOS</v>
      </c>
      <c r="K3" s="31" t="str" cm="1">
        <f t="array" ref="K3">_xlfn.XLOOKUP($A3,DataColumnRange,_xlfn.XLOOKUP(K$1,dataRowRange,ActualDataRange))</f>
        <v>JFK</v>
      </c>
      <c r="L3" s="31" t="str" cm="1">
        <f t="array" ref="L3">_xlfn.XLOOKUP($A3,DataColumnRange,_xlfn.XLOOKUP(L$1,dataRowRange,ActualDataRange))</f>
        <v>Value less than 25,000 USD</v>
      </c>
      <c r="M3" s="31" t="str" cm="1">
        <f t="array" ref="M3">_xlfn.XLOOKUP($A3,DataColumnRange,_xlfn.XLOOKUP(M$1,dataRowRange,ActualDataRange))</f>
        <v>Test Valuables</v>
      </c>
      <c r="N3" s="31" cm="1">
        <f t="array" ref="N3">_xlfn.XLOOKUP($A3,DataColumnRange,_xlfn.XLOOKUP(N$1,dataRowRange,ActualDataRange))</f>
        <v>20</v>
      </c>
      <c r="O3" s="31" t="str" cm="1">
        <f t="array" ref="O3">_xlfn.XLOOKUP($A3,DataColumnRange,_xlfn.XLOOKUP(O$1,dataRowRange,ActualDataRange))</f>
        <v>LB</v>
      </c>
      <c r="P3" s="31" cm="1">
        <f t="array" ref="P3">_xlfn.XLOOKUP($A3,DataColumnRange,_xlfn.XLOOKUP(P$1,dataRowRange,ActualDataRange))</f>
        <v>3</v>
      </c>
      <c r="Q3" s="31" cm="1">
        <f t="array" ref="Q3">_xlfn.XLOOKUP($A3,DataColumnRange,_xlfn.XLOOKUP(Q$1,dataRowRange,ActualDataRange))</f>
        <v>10</v>
      </c>
      <c r="R3" s="31" cm="1">
        <f t="array" ref="R3">_xlfn.XLOOKUP($A3,DataColumnRange,_xlfn.XLOOKUP(R$1,dataRowRange,ActualDataRange))</f>
        <v>10</v>
      </c>
      <c r="S3" s="31" cm="1">
        <f t="array" ref="S3">_xlfn.XLOOKUP($A3,DataColumnRange,_xlfn.XLOOKUP(S$1,dataRowRange,ActualDataRange))</f>
        <v>10</v>
      </c>
      <c r="T3" s="31" t="str" cm="1">
        <f t="array" ref="T3">_xlfn.XLOOKUP($A3,DataColumnRange,_xlfn.XLOOKUP(T$1,dataRowRange,ActualDataRange))</f>
        <v>IN</v>
      </c>
      <c r="U3" s="31" t="str" cm="1">
        <f t="array" ref="U3">_xlfn.XLOOKUP($A3,DataColumnRange,_xlfn.XLOOKUP(U$1,dataRowRange,ActualDataRange))</f>
        <v>NA</v>
      </c>
      <c r="V3" s="31" t="str" cm="1">
        <f t="array" ref="V3">_xlfn.XLOOKUP($A3,DataColumnRange,_xlfn.XLOOKUP(V$1,dataRowRange,ActualDataRange))</f>
        <v>No</v>
      </c>
      <c r="W3" s="31" t="str" cm="1">
        <f t="array" ref="W3">_xlfn.XLOOKUP($A3,DataColumnRange,_xlfn.XLOOKUP(W$1,dataRowRange,ActualDataRange))</f>
        <v>No</v>
      </c>
      <c r="X3" s="31" t="str" cm="1">
        <f t="array" ref="X3">_xlfn.XLOOKUP($A3,DataColumnRange,_xlfn.XLOOKUP(X$1,dataRowRange,ActualDataRange))</f>
        <v>No</v>
      </c>
      <c r="Y3" s="31" cm="1">
        <f t="array" ref="Y3">_xlfn.XLOOKUP($A3,DataColumnRange,_xlfn.XLOOKUP(Y$1,dataRowRange,ActualDataRange))</f>
        <v>6</v>
      </c>
      <c r="Z3" s="31" t="str" cm="1">
        <f t="array" ref="Z3">_xlfn.XLOOKUP($A3,DataColumnRange,_xlfn.XLOOKUP(Z$1,dataRowRange,ActualDataRange))</f>
        <v>No</v>
      </c>
      <c r="AA3" s="31" t="str" cm="1">
        <f t="array" ref="AA3">_xlfn.XLOOKUP($A3,DataColumnRange,_xlfn.XLOOKUP(AA$1,dataRowRange,ActualDataRange))</f>
        <v>NA</v>
      </c>
      <c r="AB3" s="31" t="str" cm="1">
        <f t="array" ref="AB3">_xlfn.XLOOKUP($A3,DataColumnRange,_xlfn.XLOOKUP(AB$1,dataRowRange,ActualDataRange))</f>
        <v>000260018</v>
      </c>
      <c r="AC3" s="31" t="str" cm="1">
        <f t="array" ref="AC3">_xlfn.XLOOKUP($A3,DataColumnRange,_xlfn.XLOOKUP(AC$1,dataRowRange,ActualDataRange))</f>
        <v>GeneralCargoTemplate</v>
      </c>
      <c r="AD3" s="31" t="str" cm="1">
        <f t="array" ref="AD3">_xlfn.XLOOKUP($A3,DataColumnRange,_xlfn.XLOOKUP(AD$1,dataRowRange,ActualDataRange))</f>
        <v>CreditCard</v>
      </c>
      <c r="AE3" s="31" t="str" cm="1">
        <f t="array" ref="AE3">_xlfn.XLOOKUP($A3,DataColumnRange,_xlfn.XLOOKUP(AE$1,dataRowRange,ActualDataRange))</f>
        <v>NA</v>
      </c>
      <c r="AF3" s="31" t="str" cm="1">
        <f t="array" ref="AF3">_xlfn.XLOOKUP($A3,DataColumnRange,_xlfn.XLOOKUP(AF$1,dataRowRange,ActualDataRange))</f>
        <v>Test1</v>
      </c>
      <c r="AG3" s="31" t="str" cm="1">
        <f t="array" ref="AG3">_xlfn.XLOOKUP($A3,DataColumnRange,_xlfn.XLOOKUP(AG$1,dataRowRange,ActualDataRange))</f>
        <v>Test2</v>
      </c>
      <c r="AH3" s="31" t="str" cm="1">
        <f t="array" ref="AH3">_xlfn.XLOOKUP($A3,DataColumnRange,_xlfn.XLOOKUP(AH$1,dataRowRange,ActualDataRange))</f>
        <v>Atlanta</v>
      </c>
      <c r="AI3" s="31" t="str" cm="1">
        <f t="array" ref="AI3">_xlfn.XLOOKUP($A3,DataColumnRange,_xlfn.XLOOKUP(AI$1,dataRowRange,ActualDataRange))</f>
        <v>Georgia</v>
      </c>
      <c r="AJ3" s="31" cm="1">
        <f t="array" ref="AJ3">_xlfn.XLOOKUP($A3,DataColumnRange,_xlfn.XLOOKUP(AJ$1,dataRowRange,ActualDataRange))</f>
        <v>55055</v>
      </c>
      <c r="AK3" s="31" t="str" cm="1">
        <f t="array" ref="AK3">_xlfn.XLOOKUP($A3,DataColumnRange,_xlfn.XLOOKUP(AK$1,dataRowRange,ActualDataRange))</f>
        <v>000075010</v>
      </c>
      <c r="AL3" s="31" t="str" cm="1">
        <f t="array" ref="AL3">_xlfn.XLOOKUP($A3,DataColumnRange,_xlfn.XLOOKUP(AL$1,dataRowRange,ActualDataRange))</f>
        <v>Domestic</v>
      </c>
      <c r="AM3" s="31" cm="1">
        <f t="array" ref="AM3">_xlfn.XLOOKUP($A3,DataColumnRange,_xlfn.XLOOKUP(AM$1,dataRowRange,ActualDataRange))</f>
        <v>0</v>
      </c>
    </row>
    <row r="4" spans="1:39" ht="16" thickBot="1">
      <c r="A4" s="67" t="s">
        <v>336</v>
      </c>
      <c r="B4" s="43" t="s">
        <v>87</v>
      </c>
      <c r="C4" s="11" t="s">
        <v>185</v>
      </c>
      <c r="D4" s="40" t="str">
        <f>IF(TestCaseConfig!$B$2="Yes","Yes","No")</f>
        <v>Yes</v>
      </c>
      <c r="E4" s="31" t="str" cm="1">
        <f t="array" ref="E4">_xlfn.XLOOKUP($A4,DataColumnRange,_xlfn.XLOOKUP(E$1,dataRowRange,ActualDataRange))</f>
        <v>SAFE</v>
      </c>
      <c r="F4" s="31" t="str" cm="1">
        <f t="array" ref="F4">_xlfn.XLOOKUP($A4,DataColumnRange,_xlfn.XLOOKUP(F$1,dataRowRange,ActualDataRange))</f>
        <v>sumit.choudhary@delta.com</v>
      </c>
      <c r="G4" s="31" t="str" cm="1">
        <f t="array" ref="G4">_xlfn.XLOOKUP($A4,DataColumnRange,_xlfn.XLOOKUP(G$1,dataRowRange,ActualDataRange))</f>
        <v>Delta2</v>
      </c>
      <c r="H4" s="31" t="b" cm="1">
        <f t="array" ref="H4">_xlfn.XLOOKUP($A4,DataColumnRange,_xlfn.XLOOKUP(H$1,dataRowRange,ActualDataRange))</f>
        <v>1</v>
      </c>
      <c r="I4" s="31" t="str" cm="1">
        <f t="array" ref="I4">_xlfn.XLOOKUP($A4,DataColumnRange,_xlfn.XLOOKUP(I$1,dataRowRange,ActualDataRange))</f>
        <v>NA</v>
      </c>
      <c r="J4" s="31" t="str" cm="1">
        <f t="array" ref="J4">_xlfn.XLOOKUP($A4,DataColumnRange,_xlfn.XLOOKUP(J$1,dataRowRange,ActualDataRange))</f>
        <v>ATL</v>
      </c>
      <c r="K4" s="31" t="str" cm="1">
        <f t="array" ref="K4">_xlfn.XLOOKUP($A4,DataColumnRange,_xlfn.XLOOKUP(K$1,dataRowRange,ActualDataRange))</f>
        <v>LHR</v>
      </c>
      <c r="L4" s="31" t="str" cm="1">
        <f t="array" ref="L4">_xlfn.XLOOKUP($A4,DataColumnRange,_xlfn.XLOOKUP(L$1,dataRowRange,ActualDataRange))</f>
        <v>Value greater than 25,000 USD</v>
      </c>
      <c r="M4" s="31" t="str" cm="1">
        <f t="array" ref="M4">_xlfn.XLOOKUP($A4,DataColumnRange,_xlfn.XLOOKUP(M$1,dataRowRange,ActualDataRange))</f>
        <v>Test Valuables</v>
      </c>
      <c r="N4" s="31" cm="1">
        <f t="array" ref="N4">_xlfn.XLOOKUP($A4,DataColumnRange,_xlfn.XLOOKUP(N$1,dataRowRange,ActualDataRange))</f>
        <v>50</v>
      </c>
      <c r="O4" s="31" t="str" cm="1">
        <f t="array" ref="O4">_xlfn.XLOOKUP($A4,DataColumnRange,_xlfn.XLOOKUP(O$1,dataRowRange,ActualDataRange))</f>
        <v>KG</v>
      </c>
      <c r="P4" s="31" cm="1">
        <f t="array" ref="P4">_xlfn.XLOOKUP($A4,DataColumnRange,_xlfn.XLOOKUP(P$1,dataRowRange,ActualDataRange))</f>
        <v>4</v>
      </c>
      <c r="Q4" s="31" cm="1">
        <f t="array" ref="Q4">_xlfn.XLOOKUP($A4,DataColumnRange,_xlfn.XLOOKUP(Q$1,dataRowRange,ActualDataRange))</f>
        <v>10</v>
      </c>
      <c r="R4" s="31" cm="1">
        <f t="array" ref="R4">_xlfn.XLOOKUP($A4,DataColumnRange,_xlfn.XLOOKUP(R$1,dataRowRange,ActualDataRange))</f>
        <v>10</v>
      </c>
      <c r="S4" s="31" cm="1">
        <f t="array" ref="S4">_xlfn.XLOOKUP($A4,DataColumnRange,_xlfn.XLOOKUP(S$1,dataRowRange,ActualDataRange))</f>
        <v>10</v>
      </c>
      <c r="T4" s="31" t="str" cm="1">
        <f t="array" ref="T4">_xlfn.XLOOKUP($A4,DataColumnRange,_xlfn.XLOOKUP(T$1,dataRowRange,ActualDataRange))</f>
        <v>CM</v>
      </c>
      <c r="U4" s="31" t="str" cm="1">
        <f t="array" ref="U4">_xlfn.XLOOKUP($A4,DataColumnRange,_xlfn.XLOOKUP(U$1,dataRowRange,ActualDataRange))</f>
        <v>NA</v>
      </c>
      <c r="V4" s="31" t="str" cm="1">
        <f t="array" ref="V4">_xlfn.XLOOKUP($A4,DataColumnRange,_xlfn.XLOOKUP(V$1,dataRowRange,ActualDataRange))</f>
        <v>No</v>
      </c>
      <c r="W4" s="31" t="str" cm="1">
        <f t="array" ref="W4">_xlfn.XLOOKUP($A4,DataColumnRange,_xlfn.XLOOKUP(W$1,dataRowRange,ActualDataRange))</f>
        <v>No</v>
      </c>
      <c r="X4" s="31" t="str" cm="1">
        <f t="array" ref="X4">_xlfn.XLOOKUP($A4,DataColumnRange,_xlfn.XLOOKUP(X$1,dataRowRange,ActualDataRange))</f>
        <v>No</v>
      </c>
      <c r="Y4" s="31" cm="1">
        <f t="array" ref="Y4">_xlfn.XLOOKUP($A4,DataColumnRange,_xlfn.XLOOKUP(Y$1,dataRowRange,ActualDataRange))</f>
        <v>6</v>
      </c>
      <c r="Z4" s="31" t="str" cm="1">
        <f t="array" ref="Z4">_xlfn.XLOOKUP($A4,DataColumnRange,_xlfn.XLOOKUP(Z$1,dataRowRange,ActualDataRange))</f>
        <v>No</v>
      </c>
      <c r="AA4" s="31" t="str" cm="1">
        <f t="array" ref="AA4">_xlfn.XLOOKUP($A4,DataColumnRange,_xlfn.XLOOKUP(AA$1,dataRowRange,ActualDataRange))</f>
        <v>NA</v>
      </c>
      <c r="AB4" s="31" t="str" cm="1">
        <f t="array" ref="AB4">_xlfn.XLOOKUP($A4,DataColumnRange,_xlfn.XLOOKUP(AB$1,dataRowRange,ActualDataRange))</f>
        <v>000260018</v>
      </c>
      <c r="AC4" s="31" t="str" cm="1">
        <f t="array" ref="AC4">_xlfn.XLOOKUP($A4,DataColumnRange,_xlfn.XLOOKUP(AC$1,dataRowRange,ActualDataRange))</f>
        <v>GeneralCargoTemplate</v>
      </c>
      <c r="AD4" s="31" t="str" cm="1">
        <f t="array" ref="AD4">_xlfn.XLOOKUP($A4,DataColumnRange,_xlfn.XLOOKUP(AD$1,dataRowRange,ActualDataRange))</f>
        <v>CreditCard</v>
      </c>
      <c r="AE4" s="31" t="str" cm="1">
        <f t="array" ref="AE4">_xlfn.XLOOKUP($A4,DataColumnRange,_xlfn.XLOOKUP(AE$1,dataRowRange,ActualDataRange))</f>
        <v>NA</v>
      </c>
      <c r="AF4" s="31" t="str" cm="1">
        <f t="array" ref="AF4">_xlfn.XLOOKUP($A4,DataColumnRange,_xlfn.XLOOKUP(AF$1,dataRowRange,ActualDataRange))</f>
        <v>Test1</v>
      </c>
      <c r="AG4" s="31" t="str" cm="1">
        <f t="array" ref="AG4">_xlfn.XLOOKUP($A4,DataColumnRange,_xlfn.XLOOKUP(AG$1,dataRowRange,ActualDataRange))</f>
        <v>Test2</v>
      </c>
      <c r="AH4" s="31" t="str" cm="1">
        <f t="array" ref="AH4">_xlfn.XLOOKUP($A4,DataColumnRange,_xlfn.XLOOKUP(AH$1,dataRowRange,ActualDataRange))</f>
        <v>Atlanta</v>
      </c>
      <c r="AI4" s="31" t="str" cm="1">
        <f t="array" ref="AI4">_xlfn.XLOOKUP($A4,DataColumnRange,_xlfn.XLOOKUP(AI$1,dataRowRange,ActualDataRange))</f>
        <v>Georgia</v>
      </c>
      <c r="AJ4" s="31" cm="1">
        <f t="array" ref="AJ4">_xlfn.XLOOKUP($A4,DataColumnRange,_xlfn.XLOOKUP(AJ$1,dataRowRange,ActualDataRange))</f>
        <v>55055</v>
      </c>
      <c r="AK4" s="31" t="str" cm="1">
        <f t="array" ref="AK4">_xlfn.XLOOKUP($A4,DataColumnRange,_xlfn.XLOOKUP(AK$1,dataRowRange,ActualDataRange))</f>
        <v>171276181</v>
      </c>
      <c r="AL4" s="31" t="str" cm="1">
        <f t="array" ref="AL4">_xlfn.XLOOKUP($A4,DataColumnRange,_xlfn.XLOOKUP(AL$1,dataRowRange,ActualDataRange))</f>
        <v>International</v>
      </c>
      <c r="AM4" s="31" cm="1">
        <f t="array" ref="AM4">_xlfn.XLOOKUP($A4,DataColumnRange,_xlfn.XLOOKUP(AM$1,dataRowRange,ActualDataRange))</f>
        <v>0</v>
      </c>
    </row>
    <row r="5" spans="1:39" ht="16" thickBot="1">
      <c r="A5" s="67" t="s">
        <v>337</v>
      </c>
      <c r="B5" s="43" t="s">
        <v>87</v>
      </c>
      <c r="C5" s="11" t="s">
        <v>185</v>
      </c>
      <c r="D5" s="40" t="str">
        <f>IF(TestCaseConfig!$B$2="Yes","Yes","No")</f>
        <v>Yes</v>
      </c>
      <c r="E5" s="31" t="str" cm="1">
        <f t="array" ref="E5">_xlfn.XLOOKUP($A5,DataColumnRange,_xlfn.XLOOKUP(E$1,dataRowRange,ActualDataRange))</f>
        <v>SAFE</v>
      </c>
      <c r="F5" s="31" t="str" cm="1">
        <f t="array" ref="F5">_xlfn.XLOOKUP($A5,DataColumnRange,_xlfn.XLOOKUP(F$1,dataRowRange,ActualDataRange))</f>
        <v>sumit.choudhary@delta.com</v>
      </c>
      <c r="G5" s="31" t="str" cm="1">
        <f t="array" ref="G5">_xlfn.XLOOKUP($A5,DataColumnRange,_xlfn.XLOOKUP(G$1,dataRowRange,ActualDataRange))</f>
        <v>Delta2</v>
      </c>
      <c r="H5" s="31" t="b" cm="1">
        <f t="array" ref="H5">_xlfn.XLOOKUP($A5,DataColumnRange,_xlfn.XLOOKUP(H$1,dataRowRange,ActualDataRange))</f>
        <v>1</v>
      </c>
      <c r="I5" s="31" t="str" cm="1">
        <f t="array" ref="I5">_xlfn.XLOOKUP($A5,DataColumnRange,_xlfn.XLOOKUP(I$1,dataRowRange,ActualDataRange))</f>
        <v>NA</v>
      </c>
      <c r="J5" s="31" t="str" cm="1">
        <f t="array" ref="J5">_xlfn.XLOOKUP($A5,DataColumnRange,_xlfn.XLOOKUP(J$1,dataRowRange,ActualDataRange))</f>
        <v>ATL</v>
      </c>
      <c r="K5" s="31" t="str" cm="1">
        <f t="array" ref="K5">_xlfn.XLOOKUP($A5,DataColumnRange,_xlfn.XLOOKUP(K$1,dataRowRange,ActualDataRange))</f>
        <v>CDG</v>
      </c>
      <c r="L5" s="31" t="str" cm="1">
        <f t="array" ref="L5">_xlfn.XLOOKUP($A5,DataColumnRange,_xlfn.XLOOKUP(L$1,dataRowRange,ActualDataRange))</f>
        <v>Value less than 25,000 USD</v>
      </c>
      <c r="M5" s="31" t="str" cm="1">
        <f t="array" ref="M5">_xlfn.XLOOKUP($A5,DataColumnRange,_xlfn.XLOOKUP(M$1,dataRowRange,ActualDataRange))</f>
        <v>Test Valuables</v>
      </c>
      <c r="N5" s="31" cm="1">
        <f t="array" ref="N5">_xlfn.XLOOKUP($A5,DataColumnRange,_xlfn.XLOOKUP(N$1,dataRowRange,ActualDataRange))</f>
        <v>40</v>
      </c>
      <c r="O5" s="31" t="str" cm="1">
        <f t="array" ref="O5">_xlfn.XLOOKUP($A5,DataColumnRange,_xlfn.XLOOKUP(O$1,dataRowRange,ActualDataRange))</f>
        <v>LB</v>
      </c>
      <c r="P5" s="31" cm="1">
        <f t="array" ref="P5">_xlfn.XLOOKUP($A5,DataColumnRange,_xlfn.XLOOKUP(P$1,dataRowRange,ActualDataRange))</f>
        <v>5</v>
      </c>
      <c r="Q5" s="31" cm="1">
        <f t="array" ref="Q5">_xlfn.XLOOKUP($A5,DataColumnRange,_xlfn.XLOOKUP(Q$1,dataRowRange,ActualDataRange))</f>
        <v>10</v>
      </c>
      <c r="R5" s="31" cm="1">
        <f t="array" ref="R5">_xlfn.XLOOKUP($A5,DataColumnRange,_xlfn.XLOOKUP(R$1,dataRowRange,ActualDataRange))</f>
        <v>10</v>
      </c>
      <c r="S5" s="31" cm="1">
        <f t="array" ref="S5">_xlfn.XLOOKUP($A5,DataColumnRange,_xlfn.XLOOKUP(S$1,dataRowRange,ActualDataRange))</f>
        <v>10</v>
      </c>
      <c r="T5" s="31" t="str" cm="1">
        <f t="array" ref="T5">_xlfn.XLOOKUP($A5,DataColumnRange,_xlfn.XLOOKUP(T$1,dataRowRange,ActualDataRange))</f>
        <v>IN</v>
      </c>
      <c r="U5" s="31" t="str" cm="1">
        <f t="array" ref="U5">_xlfn.XLOOKUP($A5,DataColumnRange,_xlfn.XLOOKUP(U$1,dataRowRange,ActualDataRange))</f>
        <v>NA</v>
      </c>
      <c r="V5" s="31" t="str" cm="1">
        <f t="array" ref="V5">_xlfn.XLOOKUP($A5,DataColumnRange,_xlfn.XLOOKUP(V$1,dataRowRange,ActualDataRange))</f>
        <v>No</v>
      </c>
      <c r="W5" s="31" t="str" cm="1">
        <f t="array" ref="W5">_xlfn.XLOOKUP($A5,DataColumnRange,_xlfn.XLOOKUP(W$1,dataRowRange,ActualDataRange))</f>
        <v>No</v>
      </c>
      <c r="X5" s="31" t="str" cm="1">
        <f t="array" ref="X5">_xlfn.XLOOKUP($A5,DataColumnRange,_xlfn.XLOOKUP(X$1,dataRowRange,ActualDataRange))</f>
        <v>No</v>
      </c>
      <c r="Y5" s="31" cm="1">
        <f t="array" ref="Y5">_xlfn.XLOOKUP($A5,DataColumnRange,_xlfn.XLOOKUP(Y$1,dataRowRange,ActualDataRange))</f>
        <v>6</v>
      </c>
      <c r="Z5" s="31" t="str" cm="1">
        <f t="array" ref="Z5">_xlfn.XLOOKUP($A5,DataColumnRange,_xlfn.XLOOKUP(Z$1,dataRowRange,ActualDataRange))</f>
        <v>No</v>
      </c>
      <c r="AA5" s="31" t="str" cm="1">
        <f t="array" ref="AA5">_xlfn.XLOOKUP($A5,DataColumnRange,_xlfn.XLOOKUP(AA$1,dataRowRange,ActualDataRange))</f>
        <v>NA</v>
      </c>
      <c r="AB5" s="31" t="str" cm="1">
        <f t="array" ref="AB5">_xlfn.XLOOKUP($A5,DataColumnRange,_xlfn.XLOOKUP(AB$1,dataRowRange,ActualDataRange))</f>
        <v>000260018</v>
      </c>
      <c r="AC5" s="31" t="str" cm="1">
        <f t="array" ref="AC5">_xlfn.XLOOKUP($A5,DataColumnRange,_xlfn.XLOOKUP(AC$1,dataRowRange,ActualDataRange))</f>
        <v>GeneralCargoTemplate</v>
      </c>
      <c r="AD5" s="31" t="str" cm="1">
        <f t="array" ref="AD5">_xlfn.XLOOKUP($A5,DataColumnRange,_xlfn.XLOOKUP(AD$1,dataRowRange,ActualDataRange))</f>
        <v>CreditCard</v>
      </c>
      <c r="AE5" s="31" t="str" cm="1">
        <f t="array" ref="AE5">_xlfn.XLOOKUP($A5,DataColumnRange,_xlfn.XLOOKUP(AE$1,dataRowRange,ActualDataRange))</f>
        <v>NA</v>
      </c>
      <c r="AF5" s="31" t="str" cm="1">
        <f t="array" ref="AF5">_xlfn.XLOOKUP($A5,DataColumnRange,_xlfn.XLOOKUP(AF$1,dataRowRange,ActualDataRange))</f>
        <v>Test1</v>
      </c>
      <c r="AG5" s="31" t="str" cm="1">
        <f t="array" ref="AG5">_xlfn.XLOOKUP($A5,DataColumnRange,_xlfn.XLOOKUP(AG$1,dataRowRange,ActualDataRange))</f>
        <v>Test2</v>
      </c>
      <c r="AH5" s="31" t="str" cm="1">
        <f t="array" ref="AH5">_xlfn.XLOOKUP($A5,DataColumnRange,_xlfn.XLOOKUP(AH$1,dataRowRange,ActualDataRange))</f>
        <v>Atlanta</v>
      </c>
      <c r="AI5" s="31" t="str" cm="1">
        <f t="array" ref="AI5">_xlfn.XLOOKUP($A5,DataColumnRange,_xlfn.XLOOKUP(AI$1,dataRowRange,ActualDataRange))</f>
        <v>Georgia</v>
      </c>
      <c r="AJ5" s="31" cm="1">
        <f t="array" ref="AJ5">_xlfn.XLOOKUP($A5,DataColumnRange,_xlfn.XLOOKUP(AJ$1,dataRowRange,ActualDataRange))</f>
        <v>55055</v>
      </c>
      <c r="AK5" s="31" t="str" cm="1">
        <f t="array" ref="AK5">_xlfn.XLOOKUP($A5,DataColumnRange,_xlfn.XLOOKUP(AK$1,dataRowRange,ActualDataRange))</f>
        <v>171276181</v>
      </c>
      <c r="AL5" s="31" t="str" cm="1">
        <f t="array" ref="AL5">_xlfn.XLOOKUP($A5,DataColumnRange,_xlfn.XLOOKUP(AL$1,dataRowRange,ActualDataRange))</f>
        <v>International</v>
      </c>
      <c r="AM5" s="31" cm="1">
        <f t="array" ref="AM5">_xlfn.XLOOKUP($A5,DataColumnRange,_xlfn.XLOOKUP(AM$1,dataRowRange,ActualDataRange))</f>
        <v>0</v>
      </c>
    </row>
  </sheetData>
  <hyperlinks>
    <hyperlink ref="A1" location="TestCaseConfig!A1" display="Testcase" xr:uid="{5D090A6E-DCE7-5543-8420-5B234B2B0A7E}"/>
  </hyperlinks>
  <pageMargins left="0.7" right="0.7" top="0.75" bottom="0.75" header="0.3" footer="0.3"/>
  <pageSetup paperSize="9" orientation="portrait" horizontalDpi="0" verticalDpi="0"/>
  <ignoredErrors>
    <ignoredError sqref="K2" evalError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8118-D48A-D94F-8815-70903938F945}">
  <dimension ref="A1:AM7"/>
  <sheetViews>
    <sheetView workbookViewId="0">
      <selection activeCell="E13" sqref="E13"/>
    </sheetView>
  </sheetViews>
  <sheetFormatPr defaultColWidth="11" defaultRowHeight="15.5"/>
  <cols>
    <col min="1" max="1" width="105" bestFit="1" customWidth="1"/>
    <col min="2" max="2" width="17.33203125" bestFit="1" customWidth="1"/>
    <col min="3" max="3" width="23.33203125" bestFit="1" customWidth="1"/>
    <col min="5" max="5" width="14.58203125" bestFit="1" customWidth="1"/>
  </cols>
  <sheetData>
    <row r="1" spans="1:39" s="11" customFormat="1" ht="16" thickBot="1">
      <c r="A1" s="19" t="s">
        <v>118</v>
      </c>
      <c r="B1" s="20" t="s">
        <v>2</v>
      </c>
      <c r="C1" s="20" t="s">
        <v>24</v>
      </c>
      <c r="D1" s="20" t="s">
        <v>110</v>
      </c>
      <c r="E1" s="20" t="s">
        <v>210</v>
      </c>
      <c r="F1" s="20" t="s">
        <v>122</v>
      </c>
      <c r="G1" s="20" t="s">
        <v>123</v>
      </c>
      <c r="H1" s="21" t="s">
        <v>101</v>
      </c>
      <c r="I1" s="20" t="s">
        <v>32</v>
      </c>
      <c r="J1" s="20" t="s">
        <v>140</v>
      </c>
      <c r="K1" s="20" t="s">
        <v>141</v>
      </c>
      <c r="L1" s="20" t="s">
        <v>211</v>
      </c>
      <c r="M1" s="27" t="s">
        <v>196</v>
      </c>
      <c r="N1" s="25" t="s">
        <v>146</v>
      </c>
      <c r="O1" s="20" t="s">
        <v>144</v>
      </c>
      <c r="P1" s="27" t="s">
        <v>150</v>
      </c>
      <c r="Q1" s="20" t="s">
        <v>147</v>
      </c>
      <c r="R1" s="20" t="s">
        <v>148</v>
      </c>
      <c r="S1" s="26" t="s">
        <v>149</v>
      </c>
      <c r="T1" s="20" t="s">
        <v>151</v>
      </c>
      <c r="U1" s="20" t="s">
        <v>5</v>
      </c>
      <c r="V1" s="20" t="s">
        <v>6</v>
      </c>
      <c r="W1" s="20" t="s">
        <v>7</v>
      </c>
      <c r="X1" s="20" t="s">
        <v>8</v>
      </c>
      <c r="Y1" s="20" t="s">
        <v>10</v>
      </c>
      <c r="Z1" s="20" t="s">
        <v>56</v>
      </c>
      <c r="AA1" s="20" t="s">
        <v>59</v>
      </c>
      <c r="AB1" s="20" t="s">
        <v>11</v>
      </c>
      <c r="AC1" s="20" t="s">
        <v>12</v>
      </c>
      <c r="AD1" s="20" t="s">
        <v>13</v>
      </c>
      <c r="AE1" s="20" t="s">
        <v>40</v>
      </c>
      <c r="AF1" s="20" t="s">
        <v>153</v>
      </c>
      <c r="AG1" s="20" t="s">
        <v>154</v>
      </c>
      <c r="AH1" s="20" t="s">
        <v>155</v>
      </c>
      <c r="AI1" s="20" t="s">
        <v>156</v>
      </c>
      <c r="AJ1" s="25" t="s">
        <v>157</v>
      </c>
      <c r="AK1" s="20" t="s">
        <v>102</v>
      </c>
      <c r="AL1" s="20" t="s">
        <v>207</v>
      </c>
      <c r="AM1" s="20" t="s">
        <v>73</v>
      </c>
    </row>
    <row r="2" spans="1:39" ht="16" thickBot="1">
      <c r="A2" s="70" t="s">
        <v>339</v>
      </c>
      <c r="B2" s="42" t="s">
        <v>310</v>
      </c>
      <c r="C2" s="11" t="s">
        <v>338</v>
      </c>
      <c r="D2" s="40" t="str">
        <f>IF(TestCaseConfig!$B$2="Yes","Yes","No")</f>
        <v>Yes</v>
      </c>
      <c r="E2" s="31" t="str" cm="1">
        <f t="array" ref="E2">_xlfn.XLOOKUP($A2,DataColumnRange,_xlfn.XLOOKUP(E$1,dataRowRange,ActualDataRange))</f>
        <v>CARE</v>
      </c>
      <c r="F2" s="31" t="str" cm="1">
        <f t="array" ref="F2">_xlfn.XLOOKUP($A2,DataColumnRange,_xlfn.XLOOKUP(F$1,dataRowRange,ActualDataRange))</f>
        <v>sumit.choudhary@delta.com</v>
      </c>
      <c r="G2" s="31" t="str" cm="1">
        <f t="array" ref="G2">_xlfn.XLOOKUP($A2,DataColumnRange,_xlfn.XLOOKUP(G$1,dataRowRange,ActualDataRange))</f>
        <v>Delta2</v>
      </c>
      <c r="H2" s="31" t="b" cm="1">
        <f t="array" ref="H2">_xlfn.XLOOKUP($A2,DataColumnRange,_xlfn.XLOOKUP(H$1,dataRowRange,ActualDataRange))</f>
        <v>1</v>
      </c>
      <c r="I2" s="31" t="str" cm="1">
        <f t="array" ref="I2">_xlfn.XLOOKUP($A2,DataColumnRange,_xlfn.XLOOKUP(I$1,dataRowRange,ActualDataRange))</f>
        <v>NA</v>
      </c>
      <c r="J2" s="31" t="str" cm="1">
        <f t="array" ref="J2">_xlfn.XLOOKUP($A2,DataColumnRange,_xlfn.XLOOKUP(J$1,dataRowRange,ActualDataRange))</f>
        <v>ATL</v>
      </c>
      <c r="K2" s="31" t="str" cm="1">
        <f t="array" ref="K2">_xlfn.XLOOKUP($A2,DataColumnRange,_xlfn.XLOOKUP(K$1,dataRowRange,ActualDataRange))</f>
        <v>JFK</v>
      </c>
      <c r="L2" s="31" t="str" cm="1">
        <f t="array" ref="L2">_xlfn.XLOOKUP($A2,DataColumnRange,_xlfn.XLOOKUP(L$1,dataRowRange,ActualDataRange))</f>
        <v>Adult</v>
      </c>
      <c r="M2" s="31" t="str" cm="1">
        <f t="array" ref="M2">_xlfn.XLOOKUP($A2,DataColumnRange,_xlfn.XLOOKUP(M$1,dataRowRange,ActualDataRange))</f>
        <v>Test Cares</v>
      </c>
      <c r="N2" s="31" cm="1">
        <f t="array" ref="N2">_xlfn.XLOOKUP($A2,DataColumnRange,_xlfn.XLOOKUP(N$1,dataRowRange,ActualDataRange))</f>
        <v>79</v>
      </c>
      <c r="O2" s="31" t="str" cm="1">
        <f t="array" ref="O2">_xlfn.XLOOKUP($A2,DataColumnRange,_xlfn.XLOOKUP(O$1,dataRowRange,ActualDataRange))</f>
        <v>LB</v>
      </c>
      <c r="P2" s="31" cm="1">
        <f t="array" ref="P2">_xlfn.XLOOKUP($A2,DataColumnRange,_xlfn.XLOOKUP(P$1,dataRowRange,ActualDataRange))</f>
        <v>1</v>
      </c>
      <c r="Q2" s="31" cm="1">
        <f t="array" ref="Q2">_xlfn.XLOOKUP($A2,DataColumnRange,_xlfn.XLOOKUP(Q$1,dataRowRange,ActualDataRange))</f>
        <v>10</v>
      </c>
      <c r="R2" s="31" cm="1">
        <f t="array" ref="R2">_xlfn.XLOOKUP($A2,DataColumnRange,_xlfn.XLOOKUP(R$1,dataRowRange,ActualDataRange))</f>
        <v>10</v>
      </c>
      <c r="S2" s="31" cm="1">
        <f t="array" ref="S2">_xlfn.XLOOKUP($A2,DataColumnRange,_xlfn.XLOOKUP(S$1,dataRowRange,ActualDataRange))</f>
        <v>10</v>
      </c>
      <c r="T2" s="31" t="str" cm="1">
        <f t="array" ref="T2">_xlfn.XLOOKUP($A2,DataColumnRange,_xlfn.XLOOKUP(T$1,dataRowRange,ActualDataRange))</f>
        <v>IN</v>
      </c>
      <c r="U2" s="31" t="str" cm="1">
        <f t="array" ref="U2">_xlfn.XLOOKUP($A2,DataColumnRange,_xlfn.XLOOKUP(U$1,dataRowRange,ActualDataRange))</f>
        <v>NA</v>
      </c>
      <c r="V2" s="31" t="str" cm="1">
        <f t="array" ref="V2">_xlfn.XLOOKUP($A2,DataColumnRange,_xlfn.XLOOKUP(V$1,dataRowRange,ActualDataRange))</f>
        <v>No</v>
      </c>
      <c r="W2" s="31" t="str" cm="1">
        <f t="array" ref="W2">_xlfn.XLOOKUP($A2,DataColumnRange,_xlfn.XLOOKUP(W$1,dataRowRange,ActualDataRange))</f>
        <v>No</v>
      </c>
      <c r="X2" s="31" t="str" cm="1">
        <f t="array" ref="X2">_xlfn.XLOOKUP($A2,DataColumnRange,_xlfn.XLOOKUP(X$1,dataRowRange,ActualDataRange))</f>
        <v>No</v>
      </c>
      <c r="Y2" s="31" cm="1">
        <f t="array" ref="Y2">_xlfn.XLOOKUP($A2,DataColumnRange,_xlfn.XLOOKUP(Y$1,dataRowRange,ActualDataRange))</f>
        <v>6</v>
      </c>
      <c r="Z2" s="31" t="str" cm="1">
        <f t="array" ref="Z2">_xlfn.XLOOKUP($A2,DataColumnRange,_xlfn.XLOOKUP(Z$1,dataRowRange,ActualDataRange))</f>
        <v>No</v>
      </c>
      <c r="AA2" s="31" t="str" cm="1">
        <f t="array" ref="AA2">_xlfn.XLOOKUP($A2,DataColumnRange,_xlfn.XLOOKUP(AA$1,dataRowRange,ActualDataRange))</f>
        <v>Air Tray</v>
      </c>
      <c r="AB2" s="31" t="str" cm="1">
        <f t="array" ref="AB2">_xlfn.XLOOKUP($A2,DataColumnRange,_xlfn.XLOOKUP(AB$1,dataRowRange,ActualDataRange))</f>
        <v>000260018</v>
      </c>
      <c r="AC2" s="31" t="str" cm="1">
        <f t="array" ref="AC2">_xlfn.XLOOKUP($A2,DataColumnRange,_xlfn.XLOOKUP(AC$1,dataRowRange,ActualDataRange))</f>
        <v>GeneralCargoTemplate</v>
      </c>
      <c r="AD2" s="31" t="str" cm="1">
        <f t="array" ref="AD2">_xlfn.XLOOKUP($A2,DataColumnRange,_xlfn.XLOOKUP(AD$1,dataRowRange,ActualDataRange))</f>
        <v>CreditCard</v>
      </c>
      <c r="AE2" s="31" t="str" cm="1">
        <f t="array" ref="AE2">_xlfn.XLOOKUP($A2,DataColumnRange,_xlfn.XLOOKUP(AE$1,dataRowRange,ActualDataRange))</f>
        <v>NA</v>
      </c>
      <c r="AF2" s="31" t="str" cm="1">
        <f t="array" ref="AF2">_xlfn.XLOOKUP($A2,DataColumnRange,_xlfn.XLOOKUP(AF$1,dataRowRange,ActualDataRange))</f>
        <v>Test1</v>
      </c>
      <c r="AG2" s="31" t="str" cm="1">
        <f t="array" ref="AG2">_xlfn.XLOOKUP($A2,DataColumnRange,_xlfn.XLOOKUP(AG$1,dataRowRange,ActualDataRange))</f>
        <v>Test2</v>
      </c>
      <c r="AH2" s="31" t="str" cm="1">
        <f t="array" ref="AH2">_xlfn.XLOOKUP($A2,DataColumnRange,_xlfn.XLOOKUP(AH$1,dataRowRange,ActualDataRange))</f>
        <v>Atlanta</v>
      </c>
      <c r="AI2" s="31" t="str" cm="1">
        <f t="array" ref="AI2">_xlfn.XLOOKUP($A2,DataColumnRange,_xlfn.XLOOKUP(AI$1,dataRowRange,ActualDataRange))</f>
        <v>Georgia</v>
      </c>
      <c r="AJ2" s="31" cm="1">
        <f t="array" ref="AJ2">_xlfn.XLOOKUP($A2,DataColumnRange,_xlfn.XLOOKUP(AJ$1,dataRowRange,ActualDataRange))</f>
        <v>55055</v>
      </c>
      <c r="AK2" s="31" t="str" cm="1">
        <f t="array" ref="AK2">_xlfn.XLOOKUP($A2,DataColumnRange,_xlfn.XLOOKUP(AK$1,dataRowRange,ActualDataRange))</f>
        <v>000075010</v>
      </c>
      <c r="AL2" s="31" t="str" cm="1">
        <f t="array" ref="AL2">_xlfn.XLOOKUP($A2,DataColumnRange,_xlfn.XLOOKUP(AL$1,dataRowRange,ActualDataRange))</f>
        <v>Domestic</v>
      </c>
      <c r="AM2" s="31" cm="1">
        <f t="array" ref="AM2">_xlfn.XLOOKUP($A2,DataColumnRange,_xlfn.XLOOKUP(AM$1,dataRowRange,ActualDataRange))</f>
        <v>0</v>
      </c>
    </row>
    <row r="3" spans="1:39" ht="16" thickBot="1">
      <c r="A3" s="71" t="s">
        <v>340</v>
      </c>
      <c r="B3" s="42" t="s">
        <v>310</v>
      </c>
      <c r="C3" s="11" t="s">
        <v>338</v>
      </c>
      <c r="D3" s="40" t="str">
        <f>IF(TestCaseConfig!$B$2="Yes","Yes","No")</f>
        <v>Yes</v>
      </c>
      <c r="E3" s="31" t="str" cm="1">
        <f t="array" ref="E3">_xlfn.XLOOKUP($A3,DataColumnRange,_xlfn.XLOOKUP(E$1,dataRowRange,ActualDataRange))</f>
        <v>CARE</v>
      </c>
      <c r="F3" s="31" t="str" cm="1">
        <f t="array" ref="F3">_xlfn.XLOOKUP($A3,DataColumnRange,_xlfn.XLOOKUP(F$1,dataRowRange,ActualDataRange))</f>
        <v>sumit.choudhary@delta.com</v>
      </c>
      <c r="G3" s="31" t="str" cm="1">
        <f t="array" ref="G3">_xlfn.XLOOKUP($A3,DataColumnRange,_xlfn.XLOOKUP(G$1,dataRowRange,ActualDataRange))</f>
        <v>Delta2</v>
      </c>
      <c r="H3" s="31" t="b" cm="1">
        <f t="array" ref="H3">_xlfn.XLOOKUP($A3,DataColumnRange,_xlfn.XLOOKUP(H$1,dataRowRange,ActualDataRange))</f>
        <v>1</v>
      </c>
      <c r="I3" s="31" t="str" cm="1">
        <f t="array" ref="I3">_xlfn.XLOOKUP($A3,DataColumnRange,_xlfn.XLOOKUP(I$1,dataRowRange,ActualDataRange))</f>
        <v>NA</v>
      </c>
      <c r="J3" s="31" t="str" cm="1">
        <f t="array" ref="J3">_xlfn.XLOOKUP($A3,DataColumnRange,_xlfn.XLOOKUP(J$1,dataRowRange,ActualDataRange))</f>
        <v>ATL</v>
      </c>
      <c r="K3" s="31" t="str" cm="1">
        <f t="array" ref="K3">_xlfn.XLOOKUP($A3,DataColumnRange,_xlfn.XLOOKUP(K$1,dataRowRange,ActualDataRange))</f>
        <v>JFK</v>
      </c>
      <c r="L3" s="31" t="str" cm="1">
        <f t="array" ref="L3">_xlfn.XLOOKUP($A3,DataColumnRange,_xlfn.XLOOKUP(L$1,dataRowRange,ActualDataRange))</f>
        <v>Child/Infant</v>
      </c>
      <c r="M3" s="31" t="str" cm="1">
        <f t="array" ref="M3">_xlfn.XLOOKUP($A3,DataColumnRange,_xlfn.XLOOKUP(M$1,dataRowRange,ActualDataRange))</f>
        <v>Test Cares</v>
      </c>
      <c r="N3" s="31" cm="1">
        <f t="array" ref="N3">_xlfn.XLOOKUP($A3,DataColumnRange,_xlfn.XLOOKUP(N$1,dataRowRange,ActualDataRange))</f>
        <v>36</v>
      </c>
      <c r="O3" s="31" t="str" cm="1">
        <f t="array" ref="O3">_xlfn.XLOOKUP($A3,DataColumnRange,_xlfn.XLOOKUP(O$1,dataRowRange,ActualDataRange))</f>
        <v>LB</v>
      </c>
      <c r="P3" s="31" cm="1">
        <f t="array" ref="P3">_xlfn.XLOOKUP($A3,DataColumnRange,_xlfn.XLOOKUP(P$1,dataRowRange,ActualDataRange))</f>
        <v>1</v>
      </c>
      <c r="Q3" s="31" cm="1">
        <f t="array" ref="Q3">_xlfn.XLOOKUP($A3,DataColumnRange,_xlfn.XLOOKUP(Q$1,dataRowRange,ActualDataRange))</f>
        <v>10</v>
      </c>
      <c r="R3" s="31" cm="1">
        <f t="array" ref="R3">_xlfn.XLOOKUP($A3,DataColumnRange,_xlfn.XLOOKUP(R$1,dataRowRange,ActualDataRange))</f>
        <v>10</v>
      </c>
      <c r="S3" s="31" cm="1">
        <f t="array" ref="S3">_xlfn.XLOOKUP($A3,DataColumnRange,_xlfn.XLOOKUP(S$1,dataRowRange,ActualDataRange))</f>
        <v>10</v>
      </c>
      <c r="T3" s="31" t="str" cm="1">
        <f t="array" ref="T3">_xlfn.XLOOKUP($A3,DataColumnRange,_xlfn.XLOOKUP(T$1,dataRowRange,ActualDataRange))</f>
        <v>IN</v>
      </c>
      <c r="U3" s="31" t="str" cm="1">
        <f t="array" ref="U3">_xlfn.XLOOKUP($A3,DataColumnRange,_xlfn.XLOOKUP(U$1,dataRowRange,ActualDataRange))</f>
        <v>NA</v>
      </c>
      <c r="V3" s="31" t="str" cm="1">
        <f t="array" ref="V3">_xlfn.XLOOKUP($A3,DataColumnRange,_xlfn.XLOOKUP(V$1,dataRowRange,ActualDataRange))</f>
        <v>No</v>
      </c>
      <c r="W3" s="31" t="str" cm="1">
        <f t="array" ref="W3">_xlfn.XLOOKUP($A3,DataColumnRange,_xlfn.XLOOKUP(W$1,dataRowRange,ActualDataRange))</f>
        <v>No</v>
      </c>
      <c r="X3" s="31" t="str" cm="1">
        <f t="array" ref="X3">_xlfn.XLOOKUP($A3,DataColumnRange,_xlfn.XLOOKUP(X$1,dataRowRange,ActualDataRange))</f>
        <v>No</v>
      </c>
      <c r="Y3" s="31" cm="1">
        <f t="array" ref="Y3">_xlfn.XLOOKUP($A3,DataColumnRange,_xlfn.XLOOKUP(Y$1,dataRowRange,ActualDataRange))</f>
        <v>6</v>
      </c>
      <c r="Z3" s="31" t="str" cm="1">
        <f t="array" ref="Z3">_xlfn.XLOOKUP($A3,DataColumnRange,_xlfn.XLOOKUP(Z$1,dataRowRange,ActualDataRange))</f>
        <v>No</v>
      </c>
      <c r="AA3" s="31" t="str" cm="1">
        <f t="array" ref="AA3">_xlfn.XLOOKUP($A3,DataColumnRange,_xlfn.XLOOKUP(AA$1,dataRowRange,ActualDataRange))</f>
        <v>Casket</v>
      </c>
      <c r="AB3" s="31" t="str" cm="1">
        <f t="array" ref="AB3">_xlfn.XLOOKUP($A3,DataColumnRange,_xlfn.XLOOKUP(AB$1,dataRowRange,ActualDataRange))</f>
        <v>000260018</v>
      </c>
      <c r="AC3" s="31" t="str" cm="1">
        <f t="array" ref="AC3">_xlfn.XLOOKUP($A3,DataColumnRange,_xlfn.XLOOKUP(AC$1,dataRowRange,ActualDataRange))</f>
        <v>GeneralCargoTemplate</v>
      </c>
      <c r="AD3" s="31" t="str" cm="1">
        <f t="array" ref="AD3">_xlfn.XLOOKUP($A3,DataColumnRange,_xlfn.XLOOKUP(AD$1,dataRowRange,ActualDataRange))</f>
        <v>CreditCard</v>
      </c>
      <c r="AE3" s="31" t="str" cm="1">
        <f t="array" ref="AE3">_xlfn.XLOOKUP($A3,DataColumnRange,_xlfn.XLOOKUP(AE$1,dataRowRange,ActualDataRange))</f>
        <v>NA</v>
      </c>
      <c r="AF3" s="31" t="str" cm="1">
        <f t="array" ref="AF3">_xlfn.XLOOKUP($A3,DataColumnRange,_xlfn.XLOOKUP(AF$1,dataRowRange,ActualDataRange))</f>
        <v>Test1</v>
      </c>
      <c r="AG3" s="31" t="str" cm="1">
        <f t="array" ref="AG3">_xlfn.XLOOKUP($A3,DataColumnRange,_xlfn.XLOOKUP(AG$1,dataRowRange,ActualDataRange))</f>
        <v>Test2</v>
      </c>
      <c r="AH3" s="31" t="str" cm="1">
        <f t="array" ref="AH3">_xlfn.XLOOKUP($A3,DataColumnRange,_xlfn.XLOOKUP(AH$1,dataRowRange,ActualDataRange))</f>
        <v>Atlanta</v>
      </c>
      <c r="AI3" s="31" t="str" cm="1">
        <f t="array" ref="AI3">_xlfn.XLOOKUP($A3,DataColumnRange,_xlfn.XLOOKUP(AI$1,dataRowRange,ActualDataRange))</f>
        <v>Georgia</v>
      </c>
      <c r="AJ3" s="31" cm="1">
        <f t="array" ref="AJ3">_xlfn.XLOOKUP($A3,DataColumnRange,_xlfn.XLOOKUP(AJ$1,dataRowRange,ActualDataRange))</f>
        <v>55055</v>
      </c>
      <c r="AK3" s="31" t="str" cm="1">
        <f t="array" ref="AK3">_xlfn.XLOOKUP($A3,DataColumnRange,_xlfn.XLOOKUP(AK$1,dataRowRange,ActualDataRange))</f>
        <v>000075010</v>
      </c>
      <c r="AL3" s="31" t="str" cm="1">
        <f t="array" ref="AL3">_xlfn.XLOOKUP($A3,DataColumnRange,_xlfn.XLOOKUP(AL$1,dataRowRange,ActualDataRange))</f>
        <v>Domestic</v>
      </c>
      <c r="AM3" s="31" cm="1">
        <f t="array" ref="AM3">_xlfn.XLOOKUP($A3,DataColumnRange,_xlfn.XLOOKUP(AM$1,dataRowRange,ActualDataRange))</f>
        <v>0</v>
      </c>
    </row>
    <row r="4" spans="1:39" ht="16" thickBot="1">
      <c r="A4" s="71" t="s">
        <v>341</v>
      </c>
      <c r="B4" s="42" t="s">
        <v>310</v>
      </c>
      <c r="C4" s="11" t="s">
        <v>338</v>
      </c>
      <c r="D4" s="40" t="str">
        <f>IF(TestCaseConfig!$B$2="Yes","Yes","No")</f>
        <v>Yes</v>
      </c>
      <c r="E4" s="31" t="str" cm="1">
        <f t="array" ref="E4">_xlfn.XLOOKUP($A4,DataColumnRange,_xlfn.XLOOKUP(E$1,dataRowRange,ActualDataRange))</f>
        <v>CARE</v>
      </c>
      <c r="F4" s="31" t="str" cm="1">
        <f t="array" ref="F4">_xlfn.XLOOKUP($A4,DataColumnRange,_xlfn.XLOOKUP(F$1,dataRowRange,ActualDataRange))</f>
        <v>sumit.choudhary@delta.com</v>
      </c>
      <c r="G4" s="31" t="str" cm="1">
        <f t="array" ref="G4">_xlfn.XLOOKUP($A4,DataColumnRange,_xlfn.XLOOKUP(G$1,dataRowRange,ActualDataRange))</f>
        <v>Delta2</v>
      </c>
      <c r="H4" s="31" t="b" cm="1">
        <f t="array" ref="H4">_xlfn.XLOOKUP($A4,DataColumnRange,_xlfn.XLOOKUP(H$1,dataRowRange,ActualDataRange))</f>
        <v>1</v>
      </c>
      <c r="I4" s="31" t="str" cm="1">
        <f t="array" ref="I4">_xlfn.XLOOKUP($A4,DataColumnRange,_xlfn.XLOOKUP(I$1,dataRowRange,ActualDataRange))</f>
        <v>NA</v>
      </c>
      <c r="J4" s="31" t="str" cm="1">
        <f t="array" ref="J4">_xlfn.XLOOKUP($A4,DataColumnRange,_xlfn.XLOOKUP(J$1,dataRowRange,ActualDataRange))</f>
        <v>ATL</v>
      </c>
      <c r="K4" s="31" t="str" cm="1">
        <f t="array" ref="K4">_xlfn.XLOOKUP($A4,DataColumnRange,_xlfn.XLOOKUP(K$1,dataRowRange,ActualDataRange))</f>
        <v>JFK</v>
      </c>
      <c r="L4" s="31" t="str" cm="1">
        <f t="array" ref="L4">_xlfn.XLOOKUP($A4,DataColumnRange,_xlfn.XLOOKUP(L$1,dataRowRange,ActualDataRange))</f>
        <v>Cremated Remains</v>
      </c>
      <c r="M4" s="31" t="str" cm="1">
        <f t="array" ref="M4">_xlfn.XLOOKUP($A4,DataColumnRange,_xlfn.XLOOKUP(M$1,dataRowRange,ActualDataRange))</f>
        <v>Test Cares</v>
      </c>
      <c r="N4" s="31" cm="1">
        <f t="array" ref="N4">_xlfn.XLOOKUP($A4,DataColumnRange,_xlfn.XLOOKUP(N$1,dataRowRange,ActualDataRange))</f>
        <v>59</v>
      </c>
      <c r="O4" s="31" t="str" cm="1">
        <f t="array" ref="O4">_xlfn.XLOOKUP($A4,DataColumnRange,_xlfn.XLOOKUP(O$1,dataRowRange,ActualDataRange))</f>
        <v>LB</v>
      </c>
      <c r="P4" s="31" cm="1">
        <f t="array" ref="P4">_xlfn.XLOOKUP($A4,DataColumnRange,_xlfn.XLOOKUP(P$1,dataRowRange,ActualDataRange))</f>
        <v>1</v>
      </c>
      <c r="Q4" s="31" cm="1">
        <f t="array" ref="Q4">_xlfn.XLOOKUP($A4,DataColumnRange,_xlfn.XLOOKUP(Q$1,dataRowRange,ActualDataRange))</f>
        <v>10</v>
      </c>
      <c r="R4" s="31" cm="1">
        <f t="array" ref="R4">_xlfn.XLOOKUP($A4,DataColumnRange,_xlfn.XLOOKUP(R$1,dataRowRange,ActualDataRange))</f>
        <v>10</v>
      </c>
      <c r="S4" s="31" cm="1">
        <f t="array" ref="S4">_xlfn.XLOOKUP($A4,DataColumnRange,_xlfn.XLOOKUP(S$1,dataRowRange,ActualDataRange))</f>
        <v>10</v>
      </c>
      <c r="T4" s="31" t="str" cm="1">
        <f t="array" ref="T4">_xlfn.XLOOKUP($A4,DataColumnRange,_xlfn.XLOOKUP(T$1,dataRowRange,ActualDataRange))</f>
        <v>IN</v>
      </c>
      <c r="U4" s="31" t="str" cm="1">
        <f t="array" ref="U4">_xlfn.XLOOKUP($A4,DataColumnRange,_xlfn.XLOOKUP(U$1,dataRowRange,ActualDataRange))</f>
        <v>NA</v>
      </c>
      <c r="V4" s="31" t="str" cm="1">
        <f t="array" ref="V4">_xlfn.XLOOKUP($A4,DataColumnRange,_xlfn.XLOOKUP(V$1,dataRowRange,ActualDataRange))</f>
        <v>No</v>
      </c>
      <c r="W4" s="31" t="str" cm="1">
        <f t="array" ref="W4">_xlfn.XLOOKUP($A4,DataColumnRange,_xlfn.XLOOKUP(W$1,dataRowRange,ActualDataRange))</f>
        <v>No</v>
      </c>
      <c r="X4" s="31" t="str" cm="1">
        <f t="array" ref="X4">_xlfn.XLOOKUP($A4,DataColumnRange,_xlfn.XLOOKUP(X$1,dataRowRange,ActualDataRange))</f>
        <v>No</v>
      </c>
      <c r="Y4" s="31" cm="1">
        <f t="array" ref="Y4">_xlfn.XLOOKUP($A4,DataColumnRange,_xlfn.XLOOKUP(Y$1,dataRowRange,ActualDataRange))</f>
        <v>6</v>
      </c>
      <c r="Z4" s="31" t="str" cm="1">
        <f t="array" ref="Z4">_xlfn.XLOOKUP($A4,DataColumnRange,_xlfn.XLOOKUP(Z$1,dataRowRange,ActualDataRange))</f>
        <v>No</v>
      </c>
      <c r="AA4" s="31" t="str" cm="1">
        <f t="array" ref="AA4">_xlfn.XLOOKUP($A4,DataColumnRange,_xlfn.XLOOKUP(AA$1,dataRowRange,ActualDataRange))</f>
        <v>Cremains</v>
      </c>
      <c r="AB4" s="31" t="str" cm="1">
        <f t="array" ref="AB4">_xlfn.XLOOKUP($A4,DataColumnRange,_xlfn.XLOOKUP(AB$1,dataRowRange,ActualDataRange))</f>
        <v>000260018</v>
      </c>
      <c r="AC4" s="31" t="str" cm="1">
        <f t="array" ref="AC4">_xlfn.XLOOKUP($A4,DataColumnRange,_xlfn.XLOOKUP(AC$1,dataRowRange,ActualDataRange))</f>
        <v>GeneralCargoTemplate</v>
      </c>
      <c r="AD4" s="31" t="str" cm="1">
        <f t="array" ref="AD4">_xlfn.XLOOKUP($A4,DataColumnRange,_xlfn.XLOOKUP(AD$1,dataRowRange,ActualDataRange))</f>
        <v>CreditCard</v>
      </c>
      <c r="AE4" s="31" t="str" cm="1">
        <f t="array" ref="AE4">_xlfn.XLOOKUP($A4,DataColumnRange,_xlfn.XLOOKUP(AE$1,dataRowRange,ActualDataRange))</f>
        <v>NA</v>
      </c>
      <c r="AF4" s="31" t="str" cm="1">
        <f t="array" ref="AF4">_xlfn.XLOOKUP($A4,DataColumnRange,_xlfn.XLOOKUP(AF$1,dataRowRange,ActualDataRange))</f>
        <v>Test1</v>
      </c>
      <c r="AG4" s="31" t="str" cm="1">
        <f t="array" ref="AG4">_xlfn.XLOOKUP($A4,DataColumnRange,_xlfn.XLOOKUP(AG$1,dataRowRange,ActualDataRange))</f>
        <v>Test2</v>
      </c>
      <c r="AH4" s="31" t="str" cm="1">
        <f t="array" ref="AH4">_xlfn.XLOOKUP($A4,DataColumnRange,_xlfn.XLOOKUP(AH$1,dataRowRange,ActualDataRange))</f>
        <v>Atlanta</v>
      </c>
      <c r="AI4" s="31" t="str" cm="1">
        <f t="array" ref="AI4">_xlfn.XLOOKUP($A4,DataColumnRange,_xlfn.XLOOKUP(AI$1,dataRowRange,ActualDataRange))</f>
        <v>Georgia</v>
      </c>
      <c r="AJ4" s="31" cm="1">
        <f t="array" ref="AJ4">_xlfn.XLOOKUP($A4,DataColumnRange,_xlfn.XLOOKUP(AJ$1,dataRowRange,ActualDataRange))</f>
        <v>55055</v>
      </c>
      <c r="AK4" s="31" t="str" cm="1">
        <f t="array" ref="AK4">_xlfn.XLOOKUP($A4,DataColumnRange,_xlfn.XLOOKUP(AK$1,dataRowRange,ActualDataRange))</f>
        <v>000075010</v>
      </c>
      <c r="AL4" s="31" t="str" cm="1">
        <f t="array" ref="AL4">_xlfn.XLOOKUP($A4,DataColumnRange,_xlfn.XLOOKUP(AL$1,dataRowRange,ActualDataRange))</f>
        <v>Domestic</v>
      </c>
      <c r="AM4" s="31" cm="1">
        <f t="array" ref="AM4">_xlfn.XLOOKUP($A4,DataColumnRange,_xlfn.XLOOKUP(AM$1,dataRowRange,ActualDataRange))</f>
        <v>0</v>
      </c>
    </row>
    <row r="5" spans="1:39" ht="16" thickBot="1">
      <c r="A5" s="71" t="s">
        <v>342</v>
      </c>
      <c r="B5" s="42" t="s">
        <v>310</v>
      </c>
      <c r="C5" s="11" t="s">
        <v>338</v>
      </c>
      <c r="D5" s="40" t="str">
        <f>IF(TestCaseConfig!$B$2="Yes","Yes","No")</f>
        <v>Yes</v>
      </c>
      <c r="E5" s="31" t="str" cm="1">
        <f t="array" ref="E5">_xlfn.XLOOKUP($A5,DataColumnRange,_xlfn.XLOOKUP(E$1,dataRowRange,ActualDataRange))</f>
        <v>CARE</v>
      </c>
      <c r="F5" s="31" t="str" cm="1">
        <f t="array" ref="F5">_xlfn.XLOOKUP($A5,DataColumnRange,_xlfn.XLOOKUP(F$1,dataRowRange,ActualDataRange))</f>
        <v>sumit.choudhary@delta.com</v>
      </c>
      <c r="G5" s="31" t="str" cm="1">
        <f t="array" ref="G5">_xlfn.XLOOKUP($A5,DataColumnRange,_xlfn.XLOOKUP(G$1,dataRowRange,ActualDataRange))</f>
        <v>Delta2</v>
      </c>
      <c r="H5" s="31" t="b" cm="1">
        <f t="array" ref="H5">_xlfn.XLOOKUP($A5,DataColumnRange,_xlfn.XLOOKUP(H$1,dataRowRange,ActualDataRange))</f>
        <v>1</v>
      </c>
      <c r="I5" s="31" t="str" cm="1">
        <f t="array" ref="I5">_xlfn.XLOOKUP($A5,DataColumnRange,_xlfn.XLOOKUP(I$1,dataRowRange,ActualDataRange))</f>
        <v>NA</v>
      </c>
      <c r="J5" s="31" t="str" cm="1">
        <f t="array" ref="J5">_xlfn.XLOOKUP($A5,DataColumnRange,_xlfn.XLOOKUP(J$1,dataRowRange,ActualDataRange))</f>
        <v>ATL</v>
      </c>
      <c r="K5" s="31" t="str" cm="1">
        <f t="array" ref="K5">_xlfn.XLOOKUP($A5,DataColumnRange,_xlfn.XLOOKUP(K$1,dataRowRange,ActualDataRange))</f>
        <v>LHR</v>
      </c>
      <c r="L5" s="31" t="str" cm="1">
        <f t="array" ref="L5">_xlfn.XLOOKUP($A5,DataColumnRange,_xlfn.XLOOKUP(L$1,dataRowRange,ActualDataRange))</f>
        <v>Adult</v>
      </c>
      <c r="M5" s="31" t="str" cm="1">
        <f t="array" ref="M5">_xlfn.XLOOKUP($A5,DataColumnRange,_xlfn.XLOOKUP(M$1,dataRowRange,ActualDataRange))</f>
        <v>Test Cares</v>
      </c>
      <c r="N5" s="31" cm="1">
        <f t="array" ref="N5">_xlfn.XLOOKUP($A5,DataColumnRange,_xlfn.XLOOKUP(N$1,dataRowRange,ActualDataRange))</f>
        <v>79</v>
      </c>
      <c r="O5" s="31" t="str" cm="1">
        <f t="array" ref="O5">_xlfn.XLOOKUP($A5,DataColumnRange,_xlfn.XLOOKUP(O$1,dataRowRange,ActualDataRange))</f>
        <v>KG</v>
      </c>
      <c r="P5" s="31" cm="1">
        <f t="array" ref="P5">_xlfn.XLOOKUP($A5,DataColumnRange,_xlfn.XLOOKUP(P$1,dataRowRange,ActualDataRange))</f>
        <v>1</v>
      </c>
      <c r="Q5" s="31" cm="1">
        <f t="array" ref="Q5">_xlfn.XLOOKUP($A5,DataColumnRange,_xlfn.XLOOKUP(Q$1,dataRowRange,ActualDataRange))</f>
        <v>10</v>
      </c>
      <c r="R5" s="31" cm="1">
        <f t="array" ref="R5">_xlfn.XLOOKUP($A5,DataColumnRange,_xlfn.XLOOKUP(R$1,dataRowRange,ActualDataRange))</f>
        <v>10</v>
      </c>
      <c r="S5" s="31" cm="1">
        <f t="array" ref="S5">_xlfn.XLOOKUP($A5,DataColumnRange,_xlfn.XLOOKUP(S$1,dataRowRange,ActualDataRange))</f>
        <v>10</v>
      </c>
      <c r="T5" s="31" t="str" cm="1">
        <f t="array" ref="T5">_xlfn.XLOOKUP($A5,DataColumnRange,_xlfn.XLOOKUP(T$1,dataRowRange,ActualDataRange))</f>
        <v>CM</v>
      </c>
      <c r="U5" s="31" t="str" cm="1">
        <f t="array" ref="U5">_xlfn.XLOOKUP($A5,DataColumnRange,_xlfn.XLOOKUP(U$1,dataRowRange,ActualDataRange))</f>
        <v>NA</v>
      </c>
      <c r="V5" s="31" t="str" cm="1">
        <f t="array" ref="V5">_xlfn.XLOOKUP($A5,DataColumnRange,_xlfn.XLOOKUP(V$1,dataRowRange,ActualDataRange))</f>
        <v>No</v>
      </c>
      <c r="W5" s="31" t="str" cm="1">
        <f t="array" ref="W5">_xlfn.XLOOKUP($A5,DataColumnRange,_xlfn.XLOOKUP(W$1,dataRowRange,ActualDataRange))</f>
        <v>No</v>
      </c>
      <c r="X5" s="31" t="str" cm="1">
        <f t="array" ref="X5">_xlfn.XLOOKUP($A5,DataColumnRange,_xlfn.XLOOKUP(X$1,dataRowRange,ActualDataRange))</f>
        <v>No</v>
      </c>
      <c r="Y5" s="31" cm="1">
        <f t="array" ref="Y5">_xlfn.XLOOKUP($A5,DataColumnRange,_xlfn.XLOOKUP(Y$1,dataRowRange,ActualDataRange))</f>
        <v>6</v>
      </c>
      <c r="Z5" s="31" t="str" cm="1">
        <f t="array" ref="Z5">_xlfn.XLOOKUP($A5,DataColumnRange,_xlfn.XLOOKUP(Z$1,dataRowRange,ActualDataRange))</f>
        <v>No</v>
      </c>
      <c r="AA5" s="31" t="str" cm="1">
        <f t="array" ref="AA5">_xlfn.XLOOKUP($A5,DataColumnRange,_xlfn.XLOOKUP(AA$1,dataRowRange,ActualDataRange))</f>
        <v>Casket with Air Tray</v>
      </c>
      <c r="AB5" s="31" t="str" cm="1">
        <f t="array" ref="AB5">_xlfn.XLOOKUP($A5,DataColumnRange,_xlfn.XLOOKUP(AB$1,dataRowRange,ActualDataRange))</f>
        <v>000260018</v>
      </c>
      <c r="AC5" s="31" t="str" cm="1">
        <f t="array" ref="AC5">_xlfn.XLOOKUP($A5,DataColumnRange,_xlfn.XLOOKUP(AC$1,dataRowRange,ActualDataRange))</f>
        <v>GeneralCargoTemplate</v>
      </c>
      <c r="AD5" s="31" t="str" cm="1">
        <f t="array" ref="AD5">_xlfn.XLOOKUP($A5,DataColumnRange,_xlfn.XLOOKUP(AD$1,dataRowRange,ActualDataRange))</f>
        <v>CreditCard</v>
      </c>
      <c r="AE5" s="31" t="str" cm="1">
        <f t="array" ref="AE5">_xlfn.XLOOKUP($A5,DataColumnRange,_xlfn.XLOOKUP(AE$1,dataRowRange,ActualDataRange))</f>
        <v>NA</v>
      </c>
      <c r="AF5" s="31" t="str" cm="1">
        <f t="array" ref="AF5">_xlfn.XLOOKUP($A5,DataColumnRange,_xlfn.XLOOKUP(AF$1,dataRowRange,ActualDataRange))</f>
        <v>Test1</v>
      </c>
      <c r="AG5" s="31" t="str" cm="1">
        <f t="array" ref="AG5">_xlfn.XLOOKUP($A5,DataColumnRange,_xlfn.XLOOKUP(AG$1,dataRowRange,ActualDataRange))</f>
        <v>Test2</v>
      </c>
      <c r="AH5" s="31" t="str" cm="1">
        <f t="array" ref="AH5">_xlfn.XLOOKUP($A5,DataColumnRange,_xlfn.XLOOKUP(AH$1,dataRowRange,ActualDataRange))</f>
        <v>Atlanta</v>
      </c>
      <c r="AI5" s="31" t="str" cm="1">
        <f t="array" ref="AI5">_xlfn.XLOOKUP($A5,DataColumnRange,_xlfn.XLOOKUP(AI$1,dataRowRange,ActualDataRange))</f>
        <v>Georgia</v>
      </c>
      <c r="AJ5" s="31" cm="1">
        <f t="array" ref="AJ5">_xlfn.XLOOKUP($A5,DataColumnRange,_xlfn.XLOOKUP(AJ$1,dataRowRange,ActualDataRange))</f>
        <v>55055</v>
      </c>
      <c r="AK5" s="31" t="str" cm="1">
        <f t="array" ref="AK5">_xlfn.XLOOKUP($A5,DataColumnRange,_xlfn.XLOOKUP(AK$1,dataRowRange,ActualDataRange))</f>
        <v>171276181</v>
      </c>
      <c r="AL5" s="31" t="str" cm="1">
        <f t="array" ref="AL5">_xlfn.XLOOKUP($A5,DataColumnRange,_xlfn.XLOOKUP(AL$1,dataRowRange,ActualDataRange))</f>
        <v>International</v>
      </c>
      <c r="AM5" s="31" cm="1">
        <f t="array" ref="AM5">_xlfn.XLOOKUP($A5,DataColumnRange,_xlfn.XLOOKUP(AM$1,dataRowRange,ActualDataRange))</f>
        <v>0</v>
      </c>
    </row>
    <row r="6" spans="1:39" ht="16" thickBot="1">
      <c r="A6" s="71" t="s">
        <v>343</v>
      </c>
      <c r="B6" s="42" t="s">
        <v>310</v>
      </c>
      <c r="C6" s="11" t="s">
        <v>338</v>
      </c>
      <c r="D6" s="40" t="str">
        <f>IF(TestCaseConfig!$B$2="Yes","Yes","No")</f>
        <v>Yes</v>
      </c>
      <c r="E6" s="31" t="str" cm="1">
        <f t="array" ref="E6">_xlfn.XLOOKUP($A6,DataColumnRange,_xlfn.XLOOKUP(E$1,dataRowRange,ActualDataRange))</f>
        <v>CARE</v>
      </c>
      <c r="F6" s="31" t="str" cm="1">
        <f t="array" ref="F6">_xlfn.XLOOKUP($A6,DataColumnRange,_xlfn.XLOOKUP(F$1,dataRowRange,ActualDataRange))</f>
        <v>sumit.choudhary@delta.com</v>
      </c>
      <c r="G6" s="31" t="str" cm="1">
        <f t="array" ref="G6">_xlfn.XLOOKUP($A6,DataColumnRange,_xlfn.XLOOKUP(G$1,dataRowRange,ActualDataRange))</f>
        <v>Delta2</v>
      </c>
      <c r="H6" s="31" t="b" cm="1">
        <f t="array" ref="H6">_xlfn.XLOOKUP($A6,DataColumnRange,_xlfn.XLOOKUP(H$1,dataRowRange,ActualDataRange))</f>
        <v>1</v>
      </c>
      <c r="I6" s="31" t="str" cm="1">
        <f t="array" ref="I6">_xlfn.XLOOKUP($A6,DataColumnRange,_xlfn.XLOOKUP(I$1,dataRowRange,ActualDataRange))</f>
        <v>NA</v>
      </c>
      <c r="J6" s="31" t="str" cm="1">
        <f t="array" ref="J6">_xlfn.XLOOKUP($A6,DataColumnRange,_xlfn.XLOOKUP(J$1,dataRowRange,ActualDataRange))</f>
        <v>ATL</v>
      </c>
      <c r="K6" s="31" t="str" cm="1">
        <f t="array" ref="K6">_xlfn.XLOOKUP($A6,DataColumnRange,_xlfn.XLOOKUP(K$1,dataRowRange,ActualDataRange))</f>
        <v>LHR</v>
      </c>
      <c r="L6" s="31" t="str" cm="1">
        <f t="array" ref="L6">_xlfn.XLOOKUP($A6,DataColumnRange,_xlfn.XLOOKUP(L$1,dataRowRange,ActualDataRange))</f>
        <v>Child/Infant</v>
      </c>
      <c r="M6" s="31" t="str" cm="1">
        <f t="array" ref="M6">_xlfn.XLOOKUP($A6,DataColumnRange,_xlfn.XLOOKUP(M$1,dataRowRange,ActualDataRange))</f>
        <v>Test Cares</v>
      </c>
      <c r="N6" s="31" cm="1">
        <f t="array" ref="N6">_xlfn.XLOOKUP($A6,DataColumnRange,_xlfn.XLOOKUP(N$1,dataRowRange,ActualDataRange))</f>
        <v>36</v>
      </c>
      <c r="O6" s="31" t="str" cm="1">
        <f t="array" ref="O6">_xlfn.XLOOKUP($A6,DataColumnRange,_xlfn.XLOOKUP(O$1,dataRowRange,ActualDataRange))</f>
        <v>KG</v>
      </c>
      <c r="P6" s="31" cm="1">
        <f t="array" ref="P6">_xlfn.XLOOKUP($A6,DataColumnRange,_xlfn.XLOOKUP(P$1,dataRowRange,ActualDataRange))</f>
        <v>1</v>
      </c>
      <c r="Q6" s="31" cm="1">
        <f t="array" ref="Q6">_xlfn.XLOOKUP($A6,DataColumnRange,_xlfn.XLOOKUP(Q$1,dataRowRange,ActualDataRange))</f>
        <v>10</v>
      </c>
      <c r="R6" s="31" cm="1">
        <f t="array" ref="R6">_xlfn.XLOOKUP($A6,DataColumnRange,_xlfn.XLOOKUP(R$1,dataRowRange,ActualDataRange))</f>
        <v>10</v>
      </c>
      <c r="S6" s="31" cm="1">
        <f t="array" ref="S6">_xlfn.XLOOKUP($A6,DataColumnRange,_xlfn.XLOOKUP(S$1,dataRowRange,ActualDataRange))</f>
        <v>10</v>
      </c>
      <c r="T6" s="31" t="str" cm="1">
        <f t="array" ref="T6">_xlfn.XLOOKUP($A6,DataColumnRange,_xlfn.XLOOKUP(T$1,dataRowRange,ActualDataRange))</f>
        <v>CM</v>
      </c>
      <c r="U6" s="31" t="str" cm="1">
        <f t="array" ref="U6">_xlfn.XLOOKUP($A6,DataColumnRange,_xlfn.XLOOKUP(U$1,dataRowRange,ActualDataRange))</f>
        <v>NA</v>
      </c>
      <c r="V6" s="31" t="str" cm="1">
        <f t="array" ref="V6">_xlfn.XLOOKUP($A6,DataColumnRange,_xlfn.XLOOKUP(V$1,dataRowRange,ActualDataRange))</f>
        <v>No</v>
      </c>
      <c r="W6" s="31" t="str" cm="1">
        <f t="array" ref="W6">_xlfn.XLOOKUP($A6,DataColumnRange,_xlfn.XLOOKUP(W$1,dataRowRange,ActualDataRange))</f>
        <v>No</v>
      </c>
      <c r="X6" s="31" t="str" cm="1">
        <f t="array" ref="X6">_xlfn.XLOOKUP($A6,DataColumnRange,_xlfn.XLOOKUP(X$1,dataRowRange,ActualDataRange))</f>
        <v>No</v>
      </c>
      <c r="Y6" s="31" cm="1">
        <f t="array" ref="Y6">_xlfn.XLOOKUP($A6,DataColumnRange,_xlfn.XLOOKUP(Y$1,dataRowRange,ActualDataRange))</f>
        <v>6</v>
      </c>
      <c r="Z6" s="31" t="str" cm="1">
        <f t="array" ref="Z6">_xlfn.XLOOKUP($A6,DataColumnRange,_xlfn.XLOOKUP(Z$1,dataRowRange,ActualDataRange))</f>
        <v>No</v>
      </c>
      <c r="AA6" s="31" t="str" cm="1">
        <f t="array" ref="AA6">_xlfn.XLOOKUP($A6,DataColumnRange,_xlfn.XLOOKUP(AA$1,dataRowRange,ActualDataRange))</f>
        <v>Combo</v>
      </c>
      <c r="AB6" s="31" t="str" cm="1">
        <f t="array" ref="AB6">_xlfn.XLOOKUP($A6,DataColumnRange,_xlfn.XLOOKUP(AB$1,dataRowRange,ActualDataRange))</f>
        <v>000260018</v>
      </c>
      <c r="AC6" s="31" t="str" cm="1">
        <f t="array" ref="AC6">_xlfn.XLOOKUP($A6,DataColumnRange,_xlfn.XLOOKUP(AC$1,dataRowRange,ActualDataRange))</f>
        <v>GeneralCargoTemplate</v>
      </c>
      <c r="AD6" s="31" t="str" cm="1">
        <f t="array" ref="AD6">_xlfn.XLOOKUP($A6,DataColumnRange,_xlfn.XLOOKUP(AD$1,dataRowRange,ActualDataRange))</f>
        <v>CreditCard</v>
      </c>
      <c r="AE6" s="31" t="str" cm="1">
        <f t="array" ref="AE6">_xlfn.XLOOKUP($A6,DataColumnRange,_xlfn.XLOOKUP(AE$1,dataRowRange,ActualDataRange))</f>
        <v>NA</v>
      </c>
      <c r="AF6" s="31" t="str" cm="1">
        <f t="array" ref="AF6">_xlfn.XLOOKUP($A6,DataColumnRange,_xlfn.XLOOKUP(AF$1,dataRowRange,ActualDataRange))</f>
        <v>Test1</v>
      </c>
      <c r="AG6" s="31" t="str" cm="1">
        <f t="array" ref="AG6">_xlfn.XLOOKUP($A6,DataColumnRange,_xlfn.XLOOKUP(AG$1,dataRowRange,ActualDataRange))</f>
        <v>Test2</v>
      </c>
      <c r="AH6" s="31" t="str" cm="1">
        <f t="array" ref="AH6">_xlfn.XLOOKUP($A6,DataColumnRange,_xlfn.XLOOKUP(AH$1,dataRowRange,ActualDataRange))</f>
        <v>Atlanta</v>
      </c>
      <c r="AI6" s="31" t="str" cm="1">
        <f t="array" ref="AI6">_xlfn.XLOOKUP($A6,DataColumnRange,_xlfn.XLOOKUP(AI$1,dataRowRange,ActualDataRange))</f>
        <v>Georgia</v>
      </c>
      <c r="AJ6" s="31" cm="1">
        <f t="array" ref="AJ6">_xlfn.XLOOKUP($A6,DataColumnRange,_xlfn.XLOOKUP(AJ$1,dataRowRange,ActualDataRange))</f>
        <v>55055</v>
      </c>
      <c r="AK6" s="31" t="str" cm="1">
        <f t="array" ref="AK6">_xlfn.XLOOKUP($A6,DataColumnRange,_xlfn.XLOOKUP(AK$1,dataRowRange,ActualDataRange))</f>
        <v>171276181</v>
      </c>
      <c r="AL6" s="31" t="str" cm="1">
        <f t="array" ref="AL6">_xlfn.XLOOKUP($A6,DataColumnRange,_xlfn.XLOOKUP(AL$1,dataRowRange,ActualDataRange))</f>
        <v>International</v>
      </c>
      <c r="AM6" s="31" cm="1">
        <f t="array" ref="AM6">_xlfn.XLOOKUP($A6,DataColumnRange,_xlfn.XLOOKUP(AM$1,dataRowRange,ActualDataRange))</f>
        <v>0</v>
      </c>
    </row>
    <row r="7" spans="1:39" ht="16" thickBot="1">
      <c r="A7" s="71" t="s">
        <v>344</v>
      </c>
      <c r="B7" s="42" t="s">
        <v>310</v>
      </c>
      <c r="C7" s="11" t="s">
        <v>338</v>
      </c>
      <c r="D7" s="40" t="str">
        <f>IF(TestCaseConfig!$B$2="Yes","Yes","No")</f>
        <v>Yes</v>
      </c>
      <c r="E7" s="31" t="str" cm="1">
        <f t="array" ref="E7">_xlfn.XLOOKUP($A7,DataColumnRange,_xlfn.XLOOKUP(E$1,dataRowRange,ActualDataRange))</f>
        <v>CARE</v>
      </c>
      <c r="F7" s="31" t="str" cm="1">
        <f t="array" ref="F7">_xlfn.XLOOKUP($A7,DataColumnRange,_xlfn.XLOOKUP(F$1,dataRowRange,ActualDataRange))</f>
        <v>sumit.choudhary@delta.com</v>
      </c>
      <c r="G7" s="31" t="str" cm="1">
        <f t="array" ref="G7">_xlfn.XLOOKUP($A7,DataColumnRange,_xlfn.XLOOKUP(G$1,dataRowRange,ActualDataRange))</f>
        <v>Delta2</v>
      </c>
      <c r="H7" s="31" t="b" cm="1">
        <f t="array" ref="H7">_xlfn.XLOOKUP($A7,DataColumnRange,_xlfn.XLOOKUP(H$1,dataRowRange,ActualDataRange))</f>
        <v>1</v>
      </c>
      <c r="I7" s="31" t="str" cm="1">
        <f t="array" ref="I7">_xlfn.XLOOKUP($A7,DataColumnRange,_xlfn.XLOOKUP(I$1,dataRowRange,ActualDataRange))</f>
        <v>NA</v>
      </c>
      <c r="J7" s="31" t="str" cm="1">
        <f t="array" ref="J7">_xlfn.XLOOKUP($A7,DataColumnRange,_xlfn.XLOOKUP(J$1,dataRowRange,ActualDataRange))</f>
        <v>ATL</v>
      </c>
      <c r="K7" s="31" t="str" cm="1">
        <f t="array" ref="K7">_xlfn.XLOOKUP($A7,DataColumnRange,_xlfn.XLOOKUP(K$1,dataRowRange,ActualDataRange))</f>
        <v>LHR</v>
      </c>
      <c r="L7" s="31" t="str" cm="1">
        <f t="array" ref="L7">_xlfn.XLOOKUP($A7,DataColumnRange,_xlfn.XLOOKUP(L$1,dataRowRange,ActualDataRange))</f>
        <v>Cremated Remains</v>
      </c>
      <c r="M7" s="31" t="str" cm="1">
        <f t="array" ref="M7">_xlfn.XLOOKUP($A7,DataColumnRange,_xlfn.XLOOKUP(M$1,dataRowRange,ActualDataRange))</f>
        <v>Test Cares</v>
      </c>
      <c r="N7" s="31" cm="1">
        <f t="array" ref="N7">_xlfn.XLOOKUP($A7,DataColumnRange,_xlfn.XLOOKUP(N$1,dataRowRange,ActualDataRange))</f>
        <v>59</v>
      </c>
      <c r="O7" s="31" t="str" cm="1">
        <f t="array" ref="O7">_xlfn.XLOOKUP($A7,DataColumnRange,_xlfn.XLOOKUP(O$1,dataRowRange,ActualDataRange))</f>
        <v>KG</v>
      </c>
      <c r="P7" s="31" cm="1">
        <f t="array" ref="P7">_xlfn.XLOOKUP($A7,DataColumnRange,_xlfn.XLOOKUP(P$1,dataRowRange,ActualDataRange))</f>
        <v>1</v>
      </c>
      <c r="Q7" s="31" cm="1">
        <f t="array" ref="Q7">_xlfn.XLOOKUP($A7,DataColumnRange,_xlfn.XLOOKUP(Q$1,dataRowRange,ActualDataRange))</f>
        <v>10</v>
      </c>
      <c r="R7" s="31" cm="1">
        <f t="array" ref="R7">_xlfn.XLOOKUP($A7,DataColumnRange,_xlfn.XLOOKUP(R$1,dataRowRange,ActualDataRange))</f>
        <v>10</v>
      </c>
      <c r="S7" s="31" cm="1">
        <f t="array" ref="S7">_xlfn.XLOOKUP($A7,DataColumnRange,_xlfn.XLOOKUP(S$1,dataRowRange,ActualDataRange))</f>
        <v>10</v>
      </c>
      <c r="T7" s="31" t="str" cm="1">
        <f t="array" ref="T7">_xlfn.XLOOKUP($A7,DataColumnRange,_xlfn.XLOOKUP(T$1,dataRowRange,ActualDataRange))</f>
        <v>CM</v>
      </c>
      <c r="U7" s="31" t="str" cm="1">
        <f t="array" ref="U7">_xlfn.XLOOKUP($A7,DataColumnRange,_xlfn.XLOOKUP(U$1,dataRowRange,ActualDataRange))</f>
        <v>NA</v>
      </c>
      <c r="V7" s="31" t="str" cm="1">
        <f t="array" ref="V7">_xlfn.XLOOKUP($A7,DataColumnRange,_xlfn.XLOOKUP(V$1,dataRowRange,ActualDataRange))</f>
        <v>No</v>
      </c>
      <c r="W7" s="31" t="str" cm="1">
        <f t="array" ref="W7">_xlfn.XLOOKUP($A7,DataColumnRange,_xlfn.XLOOKUP(W$1,dataRowRange,ActualDataRange))</f>
        <v>No</v>
      </c>
      <c r="X7" s="31" t="str" cm="1">
        <f t="array" ref="X7">_xlfn.XLOOKUP($A7,DataColumnRange,_xlfn.XLOOKUP(X$1,dataRowRange,ActualDataRange))</f>
        <v>No</v>
      </c>
      <c r="Y7" s="31" cm="1">
        <f t="array" ref="Y7">_xlfn.XLOOKUP($A7,DataColumnRange,_xlfn.XLOOKUP(Y$1,dataRowRange,ActualDataRange))</f>
        <v>6</v>
      </c>
      <c r="Z7" s="31" t="str" cm="1">
        <f t="array" ref="Z7">_xlfn.XLOOKUP($A7,DataColumnRange,_xlfn.XLOOKUP(Z$1,dataRowRange,ActualDataRange))</f>
        <v>No</v>
      </c>
      <c r="AA7" s="31" t="str" cm="1">
        <f t="array" ref="AA7">_xlfn.XLOOKUP($A7,DataColumnRange,_xlfn.XLOOKUP(AA$1,dataRowRange,ActualDataRange))</f>
        <v>Cremains</v>
      </c>
      <c r="AB7" s="31" t="str" cm="1">
        <f t="array" ref="AB7">_xlfn.XLOOKUP($A7,DataColumnRange,_xlfn.XLOOKUP(AB$1,dataRowRange,ActualDataRange))</f>
        <v>000260018</v>
      </c>
      <c r="AC7" s="31" t="str" cm="1">
        <f t="array" ref="AC7">_xlfn.XLOOKUP($A7,DataColumnRange,_xlfn.XLOOKUP(AC$1,dataRowRange,ActualDataRange))</f>
        <v>GeneralCargoTemplate</v>
      </c>
      <c r="AD7" s="31" t="str" cm="1">
        <f t="array" ref="AD7">_xlfn.XLOOKUP($A7,DataColumnRange,_xlfn.XLOOKUP(AD$1,dataRowRange,ActualDataRange))</f>
        <v>CreditCard</v>
      </c>
      <c r="AE7" s="31" t="str" cm="1">
        <f t="array" ref="AE7">_xlfn.XLOOKUP($A7,DataColumnRange,_xlfn.XLOOKUP(AE$1,dataRowRange,ActualDataRange))</f>
        <v>NA</v>
      </c>
      <c r="AF7" s="31" t="str" cm="1">
        <f t="array" ref="AF7">_xlfn.XLOOKUP($A7,DataColumnRange,_xlfn.XLOOKUP(AF$1,dataRowRange,ActualDataRange))</f>
        <v>Test1</v>
      </c>
      <c r="AG7" s="31" t="str" cm="1">
        <f t="array" ref="AG7">_xlfn.XLOOKUP($A7,DataColumnRange,_xlfn.XLOOKUP(AG$1,dataRowRange,ActualDataRange))</f>
        <v>Test2</v>
      </c>
      <c r="AH7" s="31" t="str" cm="1">
        <f t="array" ref="AH7">_xlfn.XLOOKUP($A7,DataColumnRange,_xlfn.XLOOKUP(AH$1,dataRowRange,ActualDataRange))</f>
        <v>Atlanta</v>
      </c>
      <c r="AI7" s="31" t="str" cm="1">
        <f t="array" ref="AI7">_xlfn.XLOOKUP($A7,DataColumnRange,_xlfn.XLOOKUP(AI$1,dataRowRange,ActualDataRange))</f>
        <v>Georgia</v>
      </c>
      <c r="AJ7" s="31" cm="1">
        <f t="array" ref="AJ7">_xlfn.XLOOKUP($A7,DataColumnRange,_xlfn.XLOOKUP(AJ$1,dataRowRange,ActualDataRange))</f>
        <v>55055</v>
      </c>
      <c r="AK7" s="31" t="str" cm="1">
        <f t="array" ref="AK7">_xlfn.XLOOKUP($A7,DataColumnRange,_xlfn.XLOOKUP(AK$1,dataRowRange,ActualDataRange))</f>
        <v>171276181</v>
      </c>
      <c r="AL7" s="31" t="str" cm="1">
        <f t="array" ref="AL7">_xlfn.XLOOKUP($A7,DataColumnRange,_xlfn.XLOOKUP(AL$1,dataRowRange,ActualDataRange))</f>
        <v>International</v>
      </c>
      <c r="AM7" s="31" cm="1">
        <f t="array" ref="AM7">_xlfn.XLOOKUP($A7,DataColumnRange,_xlfn.XLOOKUP(AM$1,dataRowRange,ActualDataRange))</f>
        <v>0</v>
      </c>
    </row>
  </sheetData>
  <hyperlinks>
    <hyperlink ref="A1" location="TestCaseConfig!A1" display="Testcase" xr:uid="{ABCA7958-B11B-D240-95D3-8ED58298DC4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BCF867C5410147BDDAF2BCA37BA4E7" ma:contentTypeVersion="2" ma:contentTypeDescription="Create a new document." ma:contentTypeScope="" ma:versionID="e24a40d5ebdbb3b92553f235188d50f6">
  <xsd:schema xmlns:xsd="http://www.w3.org/2001/XMLSchema" xmlns:xs="http://www.w3.org/2001/XMLSchema" xmlns:p="http://schemas.microsoft.com/office/2006/metadata/properties" xmlns:ns2="2981db02-ca81-468a-9abd-70e82312b342" targetNamespace="http://schemas.microsoft.com/office/2006/metadata/properties" ma:root="true" ma:fieldsID="db49c26ce236f576151feb411775a695" ns2:_="">
    <xsd:import namespace="2981db02-ca81-468a-9abd-70e82312b3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1db02-ca81-468a-9abd-70e82312b3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30B22D-1747-44FE-B15C-A00BE24DA1E1}">
  <ds:schemaRefs>
    <ds:schemaRef ds:uri="http://purl.org/dc/dcmitype/"/>
    <ds:schemaRef ds:uri="2981db02-ca81-468a-9abd-70e82312b342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D641CF5-135D-42FC-A55D-82791A85B4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D3BB4E-382D-479A-B77C-6CB5E1CFD3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1db02-ca81-468a-9abd-70e82312b3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</vt:i4>
      </vt:variant>
    </vt:vector>
  </HeadingPairs>
  <TitlesOfParts>
    <vt:vector size="22" baseType="lpstr">
      <vt:lpstr>Configuration</vt:lpstr>
      <vt:lpstr>TestCaseConfig</vt:lpstr>
      <vt:lpstr>MasterSheet</vt:lpstr>
      <vt:lpstr>ABGeneralCargo</vt:lpstr>
      <vt:lpstr>ABPerishable</vt:lpstr>
      <vt:lpstr>ABPharma</vt:lpstr>
      <vt:lpstr>ABMedical</vt:lpstr>
      <vt:lpstr>ABValuables</vt:lpstr>
      <vt:lpstr>ABHumanRemains</vt:lpstr>
      <vt:lpstr>ABLiveAnimal</vt:lpstr>
      <vt:lpstr>backup</vt:lpstr>
      <vt:lpstr>GBParcel16Oz</vt:lpstr>
      <vt:lpstr>GBParcel</vt:lpstr>
      <vt:lpstr>GBPetLive</vt:lpstr>
      <vt:lpstr>GBPerishable</vt:lpstr>
      <vt:lpstr>GBPharma</vt:lpstr>
      <vt:lpstr>GBMedical</vt:lpstr>
      <vt:lpstr>GBSpecialty</vt:lpstr>
      <vt:lpstr>GBHumanRemains</vt:lpstr>
      <vt:lpstr>ActualDataRange</vt:lpstr>
      <vt:lpstr>DataColumnRange</vt:lpstr>
      <vt:lpstr>dataRowRange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Akuthota, Bhavani</cp:lastModifiedBy>
  <cp:revision/>
  <dcterms:created xsi:type="dcterms:W3CDTF">2020-07-13T05:45:27Z</dcterms:created>
  <dcterms:modified xsi:type="dcterms:W3CDTF">2023-11-10T22:46:30Z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0x010100DFBCF867C5410147BDDAF2BCA37BA4E7</vt:lpwstr>
  </property>
</Properties>
</file>